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etailed Budget" sheetId="2" r:id="rId6"/>
    <sheet state="visible" name="Equipment" sheetId="3" r:id="rId7"/>
    <sheet state="visible" name="Milestones" sheetId="4" r:id="rId8"/>
    <sheet state="visible" name="Scenario Compare" sheetId="5" r:id="rId9"/>
    <sheet state="visible" name="Grant Fit" sheetId="6" r:id="rId10"/>
    <sheet state="visible" name="Assumptions" sheetId="7" r:id="rId11"/>
    <sheet state="visible" name="Checks" sheetId="8" r:id="rId12"/>
    <sheet state="visible" name="Sources" sheetId="9" r:id="rId13"/>
  </sheets>
  <definedNames/>
  <calcPr/>
</workbook>
</file>

<file path=xl/sharedStrings.xml><?xml version="1.0" encoding="utf-8"?>
<sst xmlns="http://schemas.openxmlformats.org/spreadsheetml/2006/main" count="723" uniqueCount="493">
  <si>
    <t>Equipment and Compute Plan</t>
  </si>
  <si>
    <t>Detailed MVP Costing</t>
  </si>
  <si>
    <t>Nxance MVP Grant Budget</t>
  </si>
  <si>
    <t>Six-Month Work Plan</t>
  </si>
  <si>
    <t>Reusable India master | ₹25L project envelope | ₹20L grant-cap core | Six-month prototype-to-paid-pilot plan</t>
  </si>
  <si>
    <t>Full and lean costs are auditable at line-item level. Full and lean totals are formula-driven.</t>
  </si>
  <si>
    <t>Milestone-based delivery and disbursement gates for a prototype-to-paid-pilot grant.</t>
  </si>
  <si>
    <t>Each asset is tied to a specific MVP workload; figures are planning caps until quotations are received.</t>
  </si>
  <si>
    <t>Active scenario</t>
  </si>
  <si>
    <t>Asset</t>
  </si>
  <si>
    <t>Month</t>
  </si>
  <si>
    <t>Category</t>
  </si>
  <si>
    <t>Item</t>
  </si>
  <si>
    <t>Unit</t>
  </si>
  <si>
    <t>Full Qty</t>
  </si>
  <si>
    <t>Phase</t>
  </si>
  <si>
    <t>Full Unit Cost (₹L)</t>
  </si>
  <si>
    <t>Full Total (₹L)</t>
  </si>
  <si>
    <t>Lean Qty</t>
  </si>
  <si>
    <t>Primary work</t>
  </si>
  <si>
    <t>Full ₹25L</t>
  </si>
  <si>
    <t>Lean Unit Cost (₹L)</t>
  </si>
  <si>
    <t>Deliverable / gate</t>
  </si>
  <si>
    <t>Lean Total (₹L)</t>
  </si>
  <si>
    <t>Grant treatment</t>
  </si>
  <si>
    <t>Full draw (₹L)</t>
  </si>
  <si>
    <t>Work package</t>
  </si>
  <si>
    <t>Spend timing</t>
  </si>
  <si>
    <t>Lean draw (₹L)</t>
  </si>
  <si>
    <t>Source / basis</t>
  </si>
  <si>
    <t>Program cap (₹L)</t>
  </si>
  <si>
    <t>Selected draw (₹L)</t>
  </si>
  <si>
    <t>Full Cost (₹L)</t>
  </si>
  <si>
    <t>Notes</t>
  </si>
  <si>
    <t>KPI</t>
  </si>
  <si>
    <t>Owner</t>
  </si>
  <si>
    <t>Lean Cost (₹L)</t>
  </si>
  <si>
    <t>Minimum specification</t>
  </si>
  <si>
    <t>MVP workload</t>
  </si>
  <si>
    <t>Evidence</t>
  </si>
  <si>
    <t>Why not cloud-only</t>
  </si>
  <si>
    <t>Procurement evidence</t>
  </si>
  <si>
    <t>Source URL</t>
  </si>
  <si>
    <t>Editable planning caps — collect quotations and obtain incubator approval before commitment.</t>
  </si>
  <si>
    <t>Decision</t>
  </si>
  <si>
    <t>M1</t>
  </si>
  <si>
    <t>NVIDIA DGX Spark</t>
  </si>
  <si>
    <t>Design &amp; procure</t>
  </si>
  <si>
    <t>Architecture, data controls, benchmark plan, quotations and procurement</t>
  </si>
  <si>
    <t>Approved technical design and purchase orders</t>
  </si>
  <si>
    <t>Equipment &amp; infrastructure</t>
  </si>
  <si>
    <t>NVIDIA DGX Spark — 128GB unified memory, 4TB</t>
  </si>
  <si>
    <t>unit</t>
  </si>
  <si>
    <t>Project envelope</t>
  </si>
  <si>
    <t>GB10 Grace Blackwell; 128GB unified memory; 4TB; DGX OS</t>
  </si>
  <si>
    <t>Local model evaluation, fine-tuning experiments, private inference and repeatable benchmarks</t>
  </si>
  <si>
    <t>Baseline benchmarks recorded</t>
  </si>
  <si>
    <t>Controls sensitive test data and reduces recurring GPU dependence</t>
  </si>
  <si>
    <t>CTO / PMO</t>
  </si>
  <si>
    <t>Authorised vendor quote; GST; warranty; delivery; price comparison</t>
  </si>
  <si>
    <t>Asset approval required</t>
  </si>
  <si>
    <t>Architecture pack; quote comparison</t>
  </si>
  <si>
    <t>https://www.nvidia.com/en-in/products/workstations/dgx-spark/</t>
  </si>
  <si>
    <t>Recommended</t>
  </si>
  <si>
    <t>Grant request</t>
  </si>
  <si>
    <t>Co-funding / extension</t>
  </si>
  <si>
    <t>M2</t>
  </si>
  <si>
    <t>Marketing share</t>
  </si>
  <si>
    <t>Harden core</t>
  </si>
  <si>
    <t>Portfolio ingestion, Health Check reliability and local model environment</t>
  </si>
  <si>
    <t>Health Check alpha passes test dataset</t>
  </si>
  <si>
    <t>Duration</t>
  </si>
  <si>
    <t>Linux engineering workstation</t>
  </si>
  <si>
    <t>Pilot MRR target</t>
  </si>
  <si>
    <t>64GB+ RAM; 2TB NVMe; Ubuntu; x86; mid-range CUDA GPU</t>
  </si>
  <si>
    <t>Data engineering, backend builds, x86 compatibility, QA and team productivity</t>
  </si>
  <si>
    <t>Separates application engineering from DGX model workloads</t>
  </si>
  <si>
    <t>Three quotes and bill of materials</t>
  </si>
  <si>
    <t>https://techtoday.lenovo.com/in/en/workstations/client-ai</t>
  </si>
  <si>
    <t>Encrypted NAS / backup</t>
  </si>
  <si>
    <t>≥95% import success on supported formats</t>
  </si>
  <si>
    <t>Encrypted storage; snapshots; role-based access</t>
  </si>
  <si>
    <t>CTO / CIO</t>
  </si>
  <si>
    <t>Dataset versioning, model artefacts and disaster recovery</t>
  </si>
  <si>
    <t>Persistent local backup is cheaper than unmanaged copies</t>
  </si>
  <si>
    <t>Test report; demo build</t>
  </si>
  <si>
    <t>Capacity, encryption and warranty quote</t>
  </si>
  <si>
    <t>Internal specification</t>
  </si>
  <si>
    <t>M3</t>
  </si>
  <si>
    <t>Integrate engines</t>
  </si>
  <si>
    <t>Portfolio Builder, NxanceLM, APIs and explanation trace</t>
  </si>
  <si>
    <t>UPS and secure network</t>
  </si>
  <si>
    <t>Three engines integrated in staging</t>
  </si>
  <si>
    <t>Likely eligible; asset approval required</t>
  </si>
  <si>
    <t>WP1 Compute</t>
  </si>
  <si>
    <t>Formula from official USD price, FX, GST and buffer</t>
  </si>
  <si>
    <t>Three quotes / GeM or authorised channel</t>
  </si>
  <si>
    <t>UPS, router/firewall, 10GbE where required</t>
  </si>
  <si>
    <t>Continuity, controlled access and reliable development</t>
  </si>
  <si>
    <t>Protects project equipment and avoids interrupted runs</t>
  </si>
  <si>
    <t>Rated-load and warranty quote</t>
  </si>
  <si>
    <t>Linux engineering workstation — 64GB+, 2TB NVMe, mid-range GPU</t>
  </si>
  <si>
    <t>Every output linked to evidence</t>
  </si>
  <si>
    <t>Staging release; trace audit</t>
  </si>
  <si>
    <t>M4</t>
  </si>
  <si>
    <t>Closed alpha</t>
  </si>
  <si>
    <t>UX, privacy controls, MLOps, compliance boundary and alpha operations</t>
  </si>
  <si>
    <t>Closed alpha with 100 qualified users</t>
  </si>
  <si>
    <t>Planning cap; vendor quote required</t>
  </si>
  <si>
    <t>x86 app build, data engineering and compatibility testing</t>
  </si>
  <si>
    <t>100 users complete core journey</t>
  </si>
  <si>
    <t>CEO / COO</t>
  </si>
  <si>
    <t>Cohort report; counsel memo</t>
  </si>
  <si>
    <t>DGX Spark landed planning cost = USD 4,699 × ₹96/USD × 18% GST × 8% buffer ≈ ₹5.75L. This is not an India quotation.</t>
  </si>
  <si>
    <t>Encrypted NAS / backup storage</t>
  </si>
  <si>
    <t>M5</t>
  </si>
  <si>
    <t>Validate safely</t>
  </si>
  <si>
    <t>Independent QA/security, usability, beta hosting and acquisition</t>
  </si>
  <si>
    <t>Pilot release candidate</t>
  </si>
  <si>
    <t>Planning cap</t>
  </si>
  <si>
    <t>Dataset versioning and backup</t>
  </si>
  <si>
    <t>UPS, secure networking and essential peripherals</t>
  </si>
  <si>
    <t>lot</t>
  </si>
  <si>
    <t>250 beta users; 0 open critical findings</t>
  </si>
  <si>
    <t>COO / CTO</t>
  </si>
  <si>
    <t>Security report; beta dashboard</t>
  </si>
  <si>
    <t>Power and network continuity</t>
  </si>
  <si>
    <t>M6</t>
  </si>
  <si>
    <t>Paid pilot</t>
  </si>
  <si>
    <t>Controlled launch, onboarding, retention measurement and grant closure</t>
  </si>
  <si>
    <t>External technical services</t>
  </si>
  <si>
    <t>Paid pilot and commercialization report</t>
  </si>
  <si>
    <t>Short-term AI/ML engineer</t>
  </si>
  <si>
    <t>person-month</t>
  </si>
  <si>
    <t>Scheme-dependent service</t>
  </si>
  <si>
    <t>WP2 AI</t>
  </si>
  <si>
    <t>M2-M4</t>
  </si>
  <si>
    <t>Freelancer planning rate</t>
  </si>
  <si>
    <t>Model evaluation, RAG and explainability</t>
  </si>
  <si>
    <t>50 paying users / paid commitments</t>
  </si>
  <si>
    <t>Short-term full-stack/backend engineer</t>
  </si>
  <si>
    <t>Payment evidence; final report</t>
  </si>
  <si>
    <t>WP3 Product</t>
  </si>
  <si>
    <t>TOTAL</t>
  </si>
  <si>
    <t>APIs, auth and application integration</t>
  </si>
  <si>
    <t>Short-term data engineer</t>
  </si>
  <si>
    <t>M2-M3</t>
  </si>
  <si>
    <t>Ingestion, normalization and test datasets</t>
  </si>
  <si>
    <t>UI/UX and accessibility sprint</t>
  </si>
  <si>
    <t>Funding architecture</t>
  </si>
  <si>
    <t>M3-M4</t>
  </si>
  <si>
    <t>Plain-language outputs and onboarding</t>
  </si>
  <si>
    <t>Six-month outcome targets</t>
  </si>
  <si>
    <t>DevOps / MLOps hardening sprint</t>
  </si>
  <si>
    <t>CI/CD, model registry and release controls</t>
  </si>
  <si>
    <t>Cloud, APIs &amp; data</t>
  </si>
  <si>
    <t>₹20L grant-cap core</t>
  </si>
  <si>
    <t>Cloud burst compute / LLM evaluation APIs</t>
  </si>
  <si>
    <t>month</t>
  </si>
  <si>
    <t>DGX Spark + core build + testing + 10% acquisition</t>
  </si>
  <si>
    <t>Likely eligible for prototype</t>
  </si>
  <si>
    <t>M1-M6</t>
  </si>
  <si>
    <t>Use only where local compute is insufficient</t>
  </si>
  <si>
    <t>1</t>
  </si>
  <si>
    <t>pilot-ready MVP</t>
  </si>
  <si>
    <t>Market data and portfolio-data APIs</t>
  </si>
  <si>
    <t>250</t>
  </si>
  <si>
    <t>qualified beta users</t>
  </si>
  <si>
    <t>Likely eligible; licensing terms apply</t>
  </si>
  <si>
    <t>Reference and validation data</t>
  </si>
  <si>
    <t>₹5L extension / co-funding</t>
  </si>
  <si>
    <t>Observability, security and developer tools</t>
  </si>
  <si>
    <t>More specialist time, broader data, stronger acquisition and reserve</t>
  </si>
  <si>
    <t>Logs, error tracking and source control</t>
  </si>
  <si>
    <t>3</t>
  </si>
  <si>
    <t>integrated engines</t>
  </si>
  <si>
    <t>Beta hosting and managed database</t>
  </si>
  <si>
    <t>50</t>
  </si>
  <si>
    <t>paying users</t>
  </si>
  <si>
    <t>Likely eligible for trials</t>
  </si>
  <si>
    <t>WP4 Pilot</t>
  </si>
  <si>
    <t>M4-M6</t>
  </si>
  <si>
    <t>Founder salaries</t>
  </si>
  <si>
    <t>Controlled beta deployment</t>
  </si>
  <si>
    <t>Excluded</t>
  </si>
  <si>
    <t>Testing, compliance &amp; security</t>
  </si>
  <si>
    <t>Independent QA and security assessment</t>
  </si>
  <si>
    <t>0</t>
  </si>
  <si>
    <t>open critical security findings</t>
  </si>
  <si>
    <t>₹24,950</t>
  </si>
  <si>
    <t>starting MRR indicator</t>
  </si>
  <si>
    <t>Likely eligible for product trials</t>
  </si>
  <si>
    <t>M4-M5</t>
  </si>
  <si>
    <t>Close critical findings before paid pilot</t>
  </si>
  <si>
    <t>Procurement rule</t>
  </si>
  <si>
    <t>Privacy, contracts and terms review</t>
  </si>
  <si>
    <t>No commitment before sanction; obtain three comparable quotes</t>
  </si>
  <si>
    <t>Likely eligible; verify legal-cost rules</t>
  </si>
  <si>
    <t>100%</t>
  </si>
  <si>
    <t>Consent, retention and user terms</t>
  </si>
  <si>
    <t>traceable recommendations</t>
  </si>
  <si>
    <t>6</t>
  </si>
  <si>
    <t>SEBI/RIA boundary and compliance advisory</t>
  </si>
  <si>
    <t>milestone gates</t>
  </si>
  <si>
    <t>Likely eligible; verify professional fees</t>
  </si>
  <si>
    <t>Separate analytics/education from regulated advice</t>
  </si>
  <si>
    <t>Test devices, accessibility and usability</t>
  </si>
  <si>
    <t>Cross-device pilot QA</t>
  </si>
  <si>
    <t>Selected allocation (₹L)</t>
  </si>
  <si>
    <t>Pilot operations</t>
  </si>
  <si>
    <t>User research incentives</t>
  </si>
  <si>
    <t>participant</t>
  </si>
  <si>
    <t>Scheme-dependent validation cost</t>
  </si>
  <si>
    <t>WP5 Validation</t>
  </si>
  <si>
    <t>₹500 per participant</t>
  </si>
  <si>
    <t>Structured interviews and tasks</t>
  </si>
  <si>
    <t>Pilot support and customer operations</t>
  </si>
  <si>
    <t>Onboarding and issue resolution</t>
  </si>
  <si>
    <t>Incubator demos, partner workshops and local travel</t>
  </si>
  <si>
    <t>Scheme-dependent</t>
  </si>
  <si>
    <t>M5-M6</t>
  </si>
  <si>
    <t>No international travel</t>
  </si>
  <si>
    <t>Technical documentation and training assets</t>
  </si>
  <si>
    <t>Pilot runbook and user guidance</t>
  </si>
  <si>
    <t>Pilot acquisition &amp; marketing</t>
  </si>
  <si>
    <t>Performance campaigns for qualified beta users</t>
  </si>
  <si>
    <t>Scheme-dependent market-entry spend</t>
  </si>
  <si>
    <t>WP6 Market</t>
  </si>
  <si>
    <t>10% envelope target</t>
  </si>
  <si>
    <t>Describe as pilot acquisition / market validation</t>
  </si>
  <si>
    <t>Content, webinars and investor community outreach</t>
  </si>
  <si>
    <t>Education-led acquisition</t>
  </si>
  <si>
    <t>Landing page, creatives and explainers</t>
  </si>
  <si>
    <t>No celebrity/brand campaign</t>
  </si>
  <si>
    <t>Referral and onboarding incentives</t>
  </si>
  <si>
    <t>Controlled pilot only</t>
  </si>
  <si>
    <t>CRM and acquisition analytics</t>
  </si>
  <si>
    <t>Controlled reserve</t>
  </si>
  <si>
    <t>Likely eligible for market trials</t>
  </si>
  <si>
    <t>Attribution and cohort tracking</t>
  </si>
  <si>
    <t>Equipment FX / availability variance</t>
  </si>
  <si>
    <t>reserve</t>
  </si>
  <si>
    <t>Often restricted; reallocate on approval</t>
  </si>
  <si>
    <t>PMO</t>
  </si>
  <si>
    <t>Held</t>
  </si>
  <si>
    <t>Management reserve</t>
  </si>
  <si>
    <t>Release only with incubator approval</t>
  </si>
  <si>
    <t>Unplanned compute and re-testing</t>
  </si>
  <si>
    <t>Protects validation gate</t>
  </si>
  <si>
    <t>General project risk reserve</t>
  </si>
  <si>
    <t>No founder draw</t>
  </si>
  <si>
    <t>TOTAL PROJECT ENVELOPE</t>
  </si>
  <si>
    <t>LEAN CORE</t>
  </si>
  <si>
    <t>Scenario Comparison</t>
  </si>
  <si>
    <t>The ₹25L full plan and ₹20L grant-cap core use the same MVP architecture.</t>
  </si>
  <si>
    <t>Lean ₹20L</t>
  </si>
  <si>
    <t>Difference</t>
  </si>
  <si>
    <t>Full %</t>
  </si>
  <si>
    <t>Lean %</t>
  </si>
  <si>
    <t>Decision implication</t>
  </si>
  <si>
    <t>DGX Spark plus complete local engineering stack</t>
  </si>
  <si>
    <t>More specialist depth and integration time</t>
  </si>
  <si>
    <t>More evaluation runs and data coverage</t>
  </si>
  <si>
    <t>Independent testing remains protected</t>
  </si>
  <si>
    <t>Larger research cohort and stronger support</t>
  </si>
  <si>
    <t>Fixed at 10% in both scenarios</t>
  </si>
  <si>
    <t>Held for approved variance; can be reallocated</t>
  </si>
  <si>
    <t>Grant Route Fit</t>
  </si>
  <si>
    <t>Use the master deck unchanged; adapt only the ask, eligibility annexure and disallowed-cost lines for each call.</t>
  </si>
  <si>
    <t>Route</t>
  </si>
  <si>
    <t>Channel</t>
  </si>
  <si>
    <t>Current support</t>
  </si>
  <si>
    <t>Stage fit</t>
  </si>
  <si>
    <t>Nxance fit</t>
  </si>
  <si>
    <t>Recommended use</t>
  </si>
  <si>
    <t>Key gating item</t>
  </si>
  <si>
    <t>As of</t>
  </si>
  <si>
    <t>Startup India Seed Fund Scheme (SISFS)</t>
  </si>
  <si>
    <t>Approved incubator</t>
  </si>
  <si>
    <t>Up to ₹20L grant</t>
  </si>
  <si>
    <t>PoC, prototype, product trials</t>
  </si>
  <si>
    <t>High</t>
  </si>
  <si>
    <t>Apply for the ₹20L core; fund ₹5L extension separately</t>
  </si>
  <si>
    <t>Confirm DPIIT recognition, incorporation date, promoter holding and prior grants</t>
  </si>
  <si>
    <t>https://seedfund.startupindia.gov.in/faq</t>
  </si>
  <si>
    <t>2026-09-02</t>
  </si>
  <si>
    <t>Gujarat Startup Assistance</t>
  </si>
  <si>
    <t>State nodal institution / incubator</t>
  </si>
  <si>
    <t>Up to ₹30L seed support</t>
  </si>
  <si>
    <t>Startup innovation and commercialization</t>
  </si>
  <si>
    <t>High if Gujarat-eligible</t>
  </si>
  <si>
    <t>Use the full ₹25L project envelope</t>
  </si>
  <si>
    <t>Confirm Gujarat registration, nodal route and current call</t>
  </si>
  <si>
    <t>https://startup.gujarat.gov.in/scheme-for-assistance/scheme-one</t>
  </si>
  <si>
    <t>i-Hub Gujarat S4</t>
  </si>
  <si>
    <t>State incubator</t>
  </si>
  <si>
    <t>₹2.5–10L</t>
  </si>
  <si>
    <t>PoC to product / market</t>
  </si>
  <si>
    <t>Medium</t>
  </si>
  <si>
    <t>Fund one defined work package or combine with co-funding</t>
  </si>
  <si>
    <t>Confirm age, Gujarat link and cohort status</t>
  </si>
  <si>
    <t>https://ihubgujarat.in/srujan</t>
  </si>
  <si>
    <t>MeitY TIDE 2.0</t>
  </si>
  <si>
    <t>Participating ICT / university incubator</t>
  </si>
  <si>
    <t>Typically up to ₹7L prototype grant via incubator</t>
  </si>
  <si>
    <t>ICT and AI prototype</t>
  </si>
  <si>
    <t>Fund NxanceLM, product hardening or a pilot tranche</t>
  </si>
  <si>
    <t>Confirm active call and incubator-specific rules</t>
  </si>
  <si>
    <t>https://msh.meity.gov.in/ | https://itic.iith.ac.in/</t>
  </si>
  <si>
    <t>NIDHI-PRAYAS 2.0</t>
  </si>
  <si>
    <t>PRAYAS Centre / APC</t>
  </si>
  <si>
    <t>Up to ₹20L / ₹40L</t>
  </si>
  <si>
    <t>Physical or phygital prototypes</t>
  </si>
  <si>
    <t>Not eligible for pure software</t>
  </si>
  <si>
    <t>Do not target unless the product becomes a genuine hardware-integrated innovation</t>
  </si>
  <si>
    <t>Pure software and app-based solutions are expressly excluded</t>
  </si>
  <si>
    <t>https://nidhi-prayas.org/innovators/</t>
  </si>
  <si>
    <t>University incubator seed / CSR call</t>
  </si>
  <si>
    <t>University TBI / Section 8 incubator</t>
  </si>
  <si>
    <t>Call-specific</t>
  </si>
  <si>
    <t>Prototype and pilot</t>
  </si>
  <si>
    <t>High when sector and stage align</t>
  </si>
  <si>
    <t>Use master deck plus a scheme annexure and expense remap</t>
  </si>
  <si>
    <t>Confirm current call, funding source and eligible spend</t>
  </si>
  <si>
    <t>Incubator-specific</t>
  </si>
  <si>
    <t>RBI / SEBI sandbox</t>
  </si>
  <si>
    <t>Regulatory validation</t>
  </si>
  <si>
    <t>Non-cash validation route</t>
  </si>
  <si>
    <t>Controlled fintech testing</t>
  </si>
  <si>
    <t>Complementary</t>
  </si>
  <si>
    <t>Pursue after MVP if the use case falls within regulatory scope</t>
  </si>
  <si>
    <t>This is validation support, not grant funding</t>
  </si>
  <si>
    <t>https://www.rbi.org.in/commonman/English/scripts/FAQs.aspx?Id=3822 | https://www.sebi.gov.in/sebiweb/other/RegulatorySandbox.jsp</t>
  </si>
  <si>
    <t>Nxance MVP Grant Model — Assumptions</t>
  </si>
  <si>
    <t>Yellow cells are editable inputs. Currency inputs are in ₹ lakh unless otherwise stated. As of 2026-09-02.</t>
  </si>
  <si>
    <t>Driver</t>
  </si>
  <si>
    <t>Value</t>
  </si>
  <si>
    <t>scenario</t>
  </si>
  <si>
    <t>Selected on Summary</t>
  </si>
  <si>
    <t>Founder team</t>
  </si>
  <si>
    <t>Full ₹25L or Lean ₹20L</t>
  </si>
  <si>
    <t>Grant program cap</t>
  </si>
  <si>
    <t>₹ lakh</t>
  </si>
  <si>
    <t>Default SISFS grant cap; edit for target program</t>
  </si>
  <si>
    <t>Grant lead</t>
  </si>
  <si>
    <t>Project can retain a ₹25L envelope with co-funding</t>
  </si>
  <si>
    <t>Project duration</t>
  </si>
  <si>
    <t>months</t>
  </si>
  <si>
    <t>User-selected prototype-to-pilot plan</t>
  </si>
  <si>
    <t>Six milestone months</t>
  </si>
  <si>
    <t>Marketing allocation target</t>
  </si>
  <si>
    <t>% of project</t>
  </si>
  <si>
    <t>User instruction</t>
  </si>
  <si>
    <t>Growth lead</t>
  </si>
  <si>
    <t>Held at 10% in both scenarios</t>
  </si>
  <si>
    <t>USD / INR planning rate</t>
  </si>
  <si>
    <t>₹ per USD</t>
  </si>
  <si>
    <t>RBI/FBIL current-rate reporting, rounded planning assumption</t>
  </si>
  <si>
    <t>Finance</t>
  </si>
  <si>
    <t>Refresh before procurement</t>
  </si>
  <si>
    <t>DGX Spark marketplace price</t>
  </si>
  <si>
    <t>USD</t>
  </si>
  <si>
    <t>NVIDIA US marketplace, accessed 2026-09-02</t>
  </si>
  <si>
    <t>CTO</t>
  </si>
  <si>
    <t>India vendor quote required</t>
  </si>
  <si>
    <t>GST assumption</t>
  </si>
  <si>
    <t>%</t>
  </si>
  <si>
    <t>Standard planning assumption; verify invoice treatment</t>
  </si>
  <si>
    <t>Included in DGX landed estimate</t>
  </si>
  <si>
    <t>Equipment procurement buffer</t>
  </si>
  <si>
    <t>Planning allowance for shipping, FX and availability</t>
  </si>
  <si>
    <t>Not a vendor quotation</t>
  </si>
  <si>
    <t>Target qualified beta users</t>
  </si>
  <si>
    <t>users</t>
  </si>
  <si>
    <t>Grant KPI target</t>
  </si>
  <si>
    <t>End of Month 5</t>
  </si>
  <si>
    <t>Target paying users</t>
  </si>
  <si>
    <t>End of Month 6</t>
  </si>
  <si>
    <t>Starting paid plan assumption</t>
  </si>
  <si>
    <t>₹ / month</t>
  </si>
  <si>
    <t>Existing Nxance pricing hypothesis</t>
  </si>
  <si>
    <t>CEO</t>
  </si>
  <si>
    <t>Used only for pilot MRR indicator</t>
  </si>
  <si>
    <t>Current demo users</t>
  </si>
  <si>
    <t>User-provided Nxance deck</t>
  </si>
  <si>
    <t>Internal validation</t>
  </si>
  <si>
    <t>Investor interviews</t>
  </si>
  <si>
    <t>interviews</t>
  </si>
  <si>
    <t>Expressed willingness to pay</t>
  </si>
  <si>
    <t>Project start stage</t>
  </si>
  <si>
    <t>Working prototype</t>
  </si>
  <si>
    <t>stage</t>
  </si>
  <si>
    <t>User-selected baseline</t>
  </si>
  <si>
    <t>Grant turns prototype into a secure paid pilot</t>
  </si>
  <si>
    <t>Regulatory boundary</t>
  </si>
  <si>
    <t>Analytics and education first; regulated advice/execution only after approval or partnership</t>
  </si>
  <si>
    <t>policy</t>
  </si>
  <si>
    <t>Management assumption</t>
  </si>
  <si>
    <t>CIO</t>
  </si>
  <si>
    <t>Confirm with securities counsel</t>
  </si>
  <si>
    <t>Model Checks</t>
  </si>
  <si>
    <t>MODEL STATUS is PASS only when every core budget and scenario control reconciles.</t>
  </si>
  <si>
    <t>Check</t>
  </si>
  <si>
    <t>Delta / count</t>
  </si>
  <si>
    <t>Tolerance</t>
  </si>
  <si>
    <t>Status</t>
  </si>
  <si>
    <t>Where to fix</t>
  </si>
  <si>
    <t>Full scenario totals ₹25L</t>
  </si>
  <si>
    <t>Detailed Budget</t>
  </si>
  <si>
    <t>Full total must equal 25.00</t>
  </si>
  <si>
    <t>Lean scenario totals ₹20L</t>
  </si>
  <si>
    <t>Lean total must equal 20.00</t>
  </si>
  <si>
    <t>Full marketing share is 10%</t>
  </si>
  <si>
    <t>User-requested guardrail</t>
  </si>
  <si>
    <t>Lean marketing share is 10%</t>
  </si>
  <si>
    <t>Full milestone draws total ₹25L</t>
  </si>
  <si>
    <t>Milestones</t>
  </si>
  <si>
    <t>Disbursement phasing control</t>
  </si>
  <si>
    <t>Lean milestone draws total ₹20L</t>
  </si>
  <si>
    <t>Grant request does not exceed project</t>
  </si>
  <si>
    <t>Summary</t>
  </si>
  <si>
    <t>Must be zero</t>
  </si>
  <si>
    <t>No negative full or lean line items</t>
  </si>
  <si>
    <t>Count must be zero</t>
  </si>
  <si>
    <t>MODEL STATUS</t>
  </si>
  <si>
    <t>Source Log</t>
  </si>
  <si>
    <t>Official URLs and internal evidence used in the budget and grant deck.</t>
  </si>
  <si>
    <t>ID</t>
  </si>
  <si>
    <t>Value / claim</t>
  </si>
  <si>
    <t>Source type</t>
  </si>
  <si>
    <t>Source URL / file</t>
  </si>
  <si>
    <t>Used in</t>
  </si>
  <si>
    <t>S01</t>
  </si>
  <si>
    <t>DGX Spark specifications</t>
  </si>
  <si>
    <t>128GB unified memory; up to 1 PFLOP FP4; 4TB</t>
  </si>
  <si>
    <t>spec</t>
  </si>
  <si>
    <t>Official vendor</t>
  </si>
  <si>
    <t>Equipment; deck</t>
  </si>
  <si>
    <t>Use for workload justification</t>
  </si>
  <si>
    <t>S02</t>
  </si>
  <si>
    <t>DGX Spark price</t>
  </si>
  <si>
    <t>Official marketplace</t>
  </si>
  <si>
    <t>https://marketplace.nvidia.com/en-us/enterprise/personal-ai-supercomputers/dgx-spark/</t>
  </si>
  <si>
    <t>Assumptions; budget</t>
  </si>
  <si>
    <t>India quotation required</t>
  </si>
  <si>
    <t>S03</t>
  </si>
  <si>
    <t>USD/INR planning rate</t>
  </si>
  <si>
    <t>RBI/FBIL reporting</t>
  </si>
  <si>
    <t>https://www.rbi.org.in/Scripts/BS_NSDPDisplay.aspx?param=4</t>
  </si>
  <si>
    <t>Rounded planning rate</t>
  </si>
  <si>
    <t>S04</t>
  </si>
  <si>
    <t>SISFS grant cap</t>
  </si>
  <si>
    <t>Official scheme</t>
  </si>
  <si>
    <t>Grant Fit; deck</t>
  </si>
  <si>
    <t>Grant for PoC/prototype/product trials</t>
  </si>
  <si>
    <t>S05</t>
  </si>
  <si>
    <t>Gujarat startup seed support</t>
  </si>
  <si>
    <t>Official state portal</t>
  </si>
  <si>
    <t>Eligibility must be confirmed</t>
  </si>
  <si>
    <t>S06</t>
  </si>
  <si>
    <t>i-Hub S4 support</t>
  </si>
  <si>
    <t>2.5–10</t>
  </si>
  <si>
    <t>Official incubator</t>
  </si>
  <si>
    <t>PoC to product/market</t>
  </si>
  <si>
    <t>S07</t>
  </si>
  <si>
    <t>TIDE 2.0 route</t>
  </si>
  <si>
    <t>Up to 7 via cited incubator</t>
  </si>
  <si>
    <t>Official ministry/incubator</t>
  </si>
  <si>
    <t>S08</t>
  </si>
  <si>
    <t>NIDHI-PRAYAS exclusion</t>
  </si>
  <si>
    <t>Pure software/app solutions excluded</t>
  </si>
  <si>
    <t>eligibility</t>
  </si>
  <si>
    <t>Official program</t>
  </si>
  <si>
    <t>Do not target for Nxance as currently framed</t>
  </si>
  <si>
    <t>S09</t>
  </si>
  <si>
    <t>Nxance early validation</t>
  </si>
  <si>
    <t>12 interviews; 8 willing to pay; 50 demo users</t>
  </si>
  <si>
    <t>internal</t>
  </si>
  <si>
    <t>User-provided</t>
  </si>
  <si>
    <t>User source</t>
  </si>
  <si>
    <t>/workspace/scratch/1529dc467b4a/upload/Nxance - Pitch Deck.pdf</t>
  </si>
  <si>
    <t>Deck; assumptions</t>
  </si>
  <si>
    <t>Validate before external submission</t>
  </si>
  <si>
    <t>S10</t>
  </si>
  <si>
    <t>RBI IoRS</t>
  </si>
  <si>
    <t>Validation route, not funding</t>
  </si>
  <si>
    <t>route</t>
  </si>
  <si>
    <t>Official regulator</t>
  </si>
  <si>
    <t>https://www.rbi.org.in/commonman/English/scripts/FAQs.aspx?Id=3822</t>
  </si>
  <si>
    <t>Potential post-MVP pathway</t>
  </si>
  <si>
    <t>S11</t>
  </si>
  <si>
    <t>SEBI Regulatory Sandbox</t>
  </si>
  <si>
    <t>https://www.sebi.gov.in/sebiweb/other/RegulatorySandbox.jsp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</si>
</sst>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&quot; L&quot;"/>
    <numFmt numFmtId="165" formatCode="0&quot; months&quot;"/>
    <numFmt numFmtId="166" formatCode="0.00&quot; L MRR&quot;"/>
    <numFmt numFmtId="167" formatCode="0.0%"/>
  </numFmts>
  <fonts count="11">
    <font>
      <sz val="10.0"/>
      <color rgb="FF000000"/>
      <name val="Arial"/>
      <scheme val="minor"/>
    </font>
    <font>
      <b/>
      <sz val="20.0"/>
      <color rgb="FF000000"/>
      <name val="Carlito"/>
    </font>
    <font/>
    <font>
      <sz val="11.0"/>
      <color rgb="FF000000"/>
      <name val="Carlito"/>
    </font>
    <font>
      <color rgb="FF000000"/>
      <name val="Carlito"/>
    </font>
    <font>
      <b/>
      <sz val="11.0"/>
      <color rgb="FF000000"/>
      <name val="Carlito"/>
    </font>
    <font>
      <b/>
      <color rgb="FF000000"/>
      <name val="Carlito"/>
    </font>
    <font>
      <i/>
      <color rgb="FF000000"/>
      <name val="Carlito"/>
    </font>
    <font>
      <b/>
      <sz val="18.0"/>
      <color rgb="FF000000"/>
      <name val="Carlito"/>
    </font>
    <font>
      <b/>
      <sz val="15.0"/>
      <color rgb="FF000000"/>
      <name val="Carlito"/>
    </font>
    <font>
      <b/>
      <sz val="12.0"/>
      <color rgb="FF000000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F5FB"/>
        <bgColor rgb="FFEAF5FB"/>
      </patternFill>
    </fill>
    <fill>
      <patternFill patternType="solid">
        <fgColor rgb="FFFFF7CC"/>
        <bgColor rgb="FFFFF7CC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2FBFE"/>
        <bgColor rgb="FFF2FBFE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/>
      <top style="thin">
        <color rgb="FFCBD5E1"/>
      </top>
      <bottom style="thin">
        <color rgb="FFCBD5E1"/>
      </bottom>
    </border>
    <border>
      <left style="thin">
        <color rgb="FF2563EB"/>
      </left>
      <right/>
      <top style="thin">
        <color rgb="FF2563EB"/>
      </top>
      <bottom style="thin">
        <color rgb="FF2563EB"/>
      </bottom>
    </border>
    <border>
      <left/>
      <right/>
      <top style="thin">
        <color rgb="FF2563EB"/>
      </top>
      <bottom style="thin">
        <color rgb="FF2563EB"/>
      </bottom>
    </border>
    <border>
      <left/>
      <right style="thin">
        <color rgb="FFCBD5E1"/>
      </right>
      <top style="thin">
        <color rgb="FFCBD5E1"/>
      </top>
      <bottom style="thin">
        <color rgb="FFCBD5E1"/>
      </bottom>
    </border>
    <border>
      <left/>
      <right style="thin">
        <color rgb="FF2563EB"/>
      </right>
      <top style="thin">
        <color rgb="FF2563EB"/>
      </top>
      <bottom style="thin">
        <color rgb="FF2563EB"/>
      </bottom>
    </border>
    <border>
      <bottom style="thin">
        <color rgb="FFE2E8F0"/>
      </bottom>
    </border>
    <border>
      <left/>
      <right/>
      <top/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left/>
      <right/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right/>
      <top style="thin">
        <color rgb="FFCBD5E1"/>
      </top>
    </border>
    <border>
      <left/>
      <right/>
      <top style="thin">
        <color rgb="FFE2E8F0"/>
      </top>
      <bottom style="thin">
        <color rgb="FFCBD5E1"/>
      </bottom>
    </border>
    <border>
      <left/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right/>
      <bottom style="thin">
        <color rgb="FFCBD5E1"/>
      </bottom>
    </border>
    <border>
      <left/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/>
      <right/>
      <top/>
      <bottom/>
    </border>
    <border>
      <left style="medium">
        <color rgb="FF2563EB"/>
      </left>
      <top style="medium">
        <color rgb="FF2563EB"/>
      </top>
    </border>
    <border>
      <right style="medium">
        <color rgb="FF2563EB"/>
      </right>
      <top style="medium">
        <color rgb="FF2563EB"/>
      </top>
    </border>
    <border>
      <left style="medium">
        <color rgb="FF2563EB"/>
      </left>
      <bottom style="medium">
        <color rgb="FF2563EB"/>
      </bottom>
    </border>
    <border>
      <right style="medium">
        <color rgb="FF2563EB"/>
      </right>
      <bottom style="medium">
        <color rgb="FF2563EB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1"/>
    </xf>
    <xf borderId="1" fillId="3" fontId="4" numFmtId="0" xfId="0" applyAlignment="1" applyBorder="1" applyFill="1" applyFont="1">
      <alignment shrinkToFit="0" wrapText="1"/>
    </xf>
    <xf borderId="4" fillId="4" fontId="5" numFmtId="0" xfId="0" applyAlignment="1" applyBorder="1" applyFill="1" applyFont="1">
      <alignment shrinkToFit="0" vertical="bottom" wrapText="1"/>
    </xf>
    <xf borderId="5" fillId="3" fontId="6" numFmtId="0" xfId="0" applyAlignment="1" applyBorder="1" applyFill="1" applyFont="1">
      <alignment shrinkToFit="0" wrapText="1"/>
    </xf>
    <xf borderId="6" fillId="3" fontId="6" numFmtId="0" xfId="0" applyAlignment="1" applyBorder="1" applyFill="1" applyFont="1">
      <alignment shrinkToFit="0" wrapText="1"/>
    </xf>
    <xf borderId="7" fillId="4" fontId="5" numFmtId="0" xfId="0" applyAlignment="1" applyBorder="1" applyFill="1" applyFont="1">
      <alignment shrinkToFit="0" vertical="bottom" wrapText="1"/>
    </xf>
    <xf borderId="8" fillId="3" fontId="6" numFmtId="0" xfId="0" applyAlignment="1" applyBorder="1" applyFill="1" applyFont="1">
      <alignment shrinkToFit="0" wrapText="1"/>
    </xf>
    <xf borderId="1" fillId="5" fontId="7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top" wrapText="1"/>
    </xf>
    <xf borderId="9" fillId="0" fontId="4" numFmtId="2" xfId="0" applyAlignment="1" applyBorder="1" applyFont="1" applyNumberFormat="1">
      <alignment horizontal="right" shrinkToFit="0" vertical="top" wrapText="1"/>
    </xf>
    <xf borderId="10" fillId="4" fontId="4" numFmtId="2" xfId="0" applyAlignment="1" applyBorder="1" applyFill="1" applyFont="1" applyNumberFormat="1">
      <alignment horizontal="right" shrinkToFit="0" vertical="top" wrapText="1"/>
    </xf>
    <xf borderId="7" fillId="4" fontId="5" numFmtId="0" xfId="0" applyAlignment="1" applyBorder="1" applyFill="1" applyFont="1">
      <alignment horizontal="right" shrinkToFit="0" vertical="bottom" wrapText="1"/>
    </xf>
    <xf borderId="1" fillId="3" fontId="6" numFmtId="0" xfId="0" applyAlignment="1" applyBorder="1" applyFill="1" applyFont="1">
      <alignment horizontal="center" shrinkToFit="0" wrapText="1"/>
    </xf>
    <xf borderId="10" fillId="6" fontId="6" numFmtId="0" xfId="0" applyAlignment="1" applyBorder="1" applyFill="1" applyFont="1">
      <alignment shrinkToFit="0" vertical="top" wrapText="1"/>
    </xf>
    <xf borderId="11" fillId="0" fontId="4" numFmtId="0" xfId="0" applyAlignment="1" applyBorder="1" applyFont="1">
      <alignment shrinkToFit="0" vertical="top" wrapText="1"/>
    </xf>
    <xf borderId="10" fillId="3" fontId="4" numFmtId="2" xfId="0" applyAlignment="1" applyBorder="1" applyFill="1" applyFont="1" applyNumberFormat="1">
      <alignment horizontal="right" shrinkToFit="0" vertical="top" wrapText="1"/>
    </xf>
    <xf borderId="11" fillId="0" fontId="4" numFmtId="2" xfId="0" applyAlignment="1" applyBorder="1" applyFont="1" applyNumberFormat="1">
      <alignment horizontal="right" shrinkToFit="0" vertical="top" wrapText="1"/>
    </xf>
    <xf borderId="12" fillId="6" fontId="6" numFmtId="0" xfId="0" applyAlignment="1" applyBorder="1" applyFill="1" applyFont="1">
      <alignment shrinkToFit="0" vertical="top" wrapText="1"/>
    </xf>
    <xf borderId="10" fillId="7" fontId="4" numFmtId="2" xfId="0" applyAlignment="1" applyBorder="1" applyFill="1" applyFont="1" applyNumberFormat="1">
      <alignment horizontal="right" shrinkToFit="0" vertical="top" wrapText="1"/>
    </xf>
    <xf borderId="13" fillId="0" fontId="4" numFmtId="0" xfId="0" applyAlignment="1" applyBorder="1" applyFont="1">
      <alignment shrinkToFit="0" vertical="top" wrapText="1"/>
    </xf>
    <xf borderId="13" fillId="0" fontId="4" numFmtId="2" xfId="0" applyAlignment="1" applyBorder="1" applyFont="1" applyNumberFormat="1">
      <alignment horizontal="right" shrinkToFit="0" vertical="top" wrapText="1"/>
    </xf>
    <xf borderId="14" fillId="8" fontId="8" numFmtId="164" xfId="0" applyAlignment="1" applyBorder="1" applyFill="1" applyFont="1" applyNumberFormat="1">
      <alignment horizontal="center" shrinkToFit="0" wrapText="1"/>
    </xf>
    <xf borderId="15" fillId="0" fontId="2" numFmtId="0" xfId="0" applyBorder="1" applyFont="1"/>
    <xf borderId="12" fillId="4" fontId="4" numFmtId="2" xfId="0" applyAlignment="1" applyBorder="1" applyFill="1" applyFont="1" applyNumberFormat="1">
      <alignment horizontal="right" shrinkToFit="0" vertical="top" wrapText="1"/>
    </xf>
    <xf borderId="12" fillId="3" fontId="4" numFmtId="2" xfId="0" applyAlignment="1" applyBorder="1" applyFill="1" applyFont="1" applyNumberFormat="1">
      <alignment horizontal="right" shrinkToFit="0" vertical="top" wrapText="1"/>
    </xf>
    <xf borderId="16" fillId="6" fontId="6" numFmtId="0" xfId="0" applyAlignment="1" applyBorder="1" applyFill="1" applyFont="1">
      <alignment shrinkToFit="0" vertical="top" wrapText="1"/>
    </xf>
    <xf borderId="17" fillId="8" fontId="8" numFmtId="164" xfId="0" applyAlignment="1" applyBorder="1" applyFill="1" applyFont="1" applyNumberFormat="1">
      <alignment horizontal="center" shrinkToFit="0" wrapText="1"/>
    </xf>
    <xf borderId="12" fillId="7" fontId="4" numFmtId="2" xfId="0" applyAlignment="1" applyBorder="1" applyFill="1" applyFont="1" applyNumberFormat="1">
      <alignment horizontal="right" shrinkToFit="0" vertical="top" wrapText="1"/>
    </xf>
    <xf borderId="17" fillId="8" fontId="8" numFmtId="9" xfId="0" applyAlignment="1" applyBorder="1" applyFill="1" applyFont="1" applyNumberFormat="1">
      <alignment horizontal="center" shrinkToFit="0" wrapText="1"/>
    </xf>
    <xf borderId="17" fillId="8" fontId="8" numFmtId="165" xfId="0" applyAlignment="1" applyBorder="1" applyFill="1" applyFont="1" applyNumberFormat="1">
      <alignment horizontal="center" shrinkToFit="0" wrapText="1"/>
    </xf>
    <xf borderId="17" fillId="8" fontId="8" numFmtId="166" xfId="0" applyAlignment="1" applyBorder="1" applyFill="1" applyFont="1" applyNumberFormat="1">
      <alignment horizontal="center" shrinkToFit="0" wrapText="1"/>
    </xf>
    <xf borderId="18" fillId="0" fontId="2" numFmtId="0" xfId="0" applyBorder="1" applyFont="1"/>
    <xf borderId="19" fillId="0" fontId="2" numFmtId="0" xfId="0" applyBorder="1" applyFont="1"/>
    <xf borderId="1" fillId="2" fontId="5" numFmtId="0" xfId="0" applyAlignment="1" applyBorder="1" applyFill="1" applyFont="1">
      <alignment shrinkToFit="0" vertical="bottom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2" fontId="5" numFmtId="2" xfId="0" applyAlignment="1" applyBorder="1" applyFill="1" applyFont="1" applyNumberFormat="1">
      <alignment horizontal="right" shrinkToFit="0" vertical="bottom" wrapText="1"/>
    </xf>
    <xf borderId="1" fillId="3" fontId="5" numFmtId="0" xfId="0" applyAlignment="1" applyBorder="1" applyFill="1" applyFont="1">
      <alignment shrinkToFit="0" wrapText="1"/>
    </xf>
    <xf borderId="23" fillId="2" fontId="3" numFmtId="0" xfId="0" applyAlignment="1" applyBorder="1" applyFill="1" applyFont="1">
      <alignment shrinkToFit="0" vertical="bottom" wrapText="1"/>
    </xf>
    <xf borderId="9" fillId="0" fontId="6" numFmtId="0" xfId="0" applyAlignment="1" applyBorder="1" applyFont="1">
      <alignment shrinkToFit="0" vertical="top" wrapText="1"/>
    </xf>
    <xf borderId="9" fillId="0" fontId="2" numFmtId="0" xfId="0" applyBorder="1" applyFont="1"/>
    <xf borderId="9" fillId="0" fontId="9" numFmtId="0" xfId="0" applyAlignment="1" applyBorder="1" applyFont="1">
      <alignment shrinkToFit="0" vertical="top" wrapText="1"/>
    </xf>
    <xf borderId="11" fillId="0" fontId="6" numFmtId="0" xfId="0" applyAlignment="1" applyBorder="1" applyFont="1">
      <alignment shrinkToFit="0" vertical="top" wrapText="1"/>
    </xf>
    <xf borderId="11" fillId="0" fontId="2" numFmtId="0" xfId="0" applyBorder="1" applyFont="1"/>
    <xf borderId="11" fillId="0" fontId="9" numFmtId="0" xfId="0" applyAlignment="1" applyBorder="1" applyFont="1">
      <alignment shrinkToFit="0" vertical="top" wrapText="1"/>
    </xf>
    <xf borderId="13" fillId="0" fontId="6" numFmtId="0" xfId="0" applyAlignment="1" applyBorder="1" applyFont="1">
      <alignment shrinkToFit="0" vertical="top" wrapText="1"/>
    </xf>
    <xf borderId="13" fillId="0" fontId="2" numFmtId="0" xfId="0" applyBorder="1" applyFont="1"/>
    <xf borderId="13" fillId="0" fontId="9" numFmtId="0" xfId="0" applyAlignment="1" applyBorder="1" applyFont="1">
      <alignment shrinkToFit="0" vertical="top" wrapText="1"/>
    </xf>
    <xf borderId="16" fillId="4" fontId="4" numFmtId="2" xfId="0" applyAlignment="1" applyBorder="1" applyFill="1" applyFont="1" applyNumberFormat="1">
      <alignment horizontal="right" shrinkToFit="0" vertical="top" wrapText="1"/>
    </xf>
    <xf borderId="16" fillId="3" fontId="4" numFmtId="2" xfId="0" applyAlignment="1" applyBorder="1" applyFill="1" applyFont="1" applyNumberFormat="1">
      <alignment horizontal="right" shrinkToFit="0" vertical="top" wrapText="1"/>
    </xf>
    <xf borderId="16" fillId="7" fontId="4" numFmtId="2" xfId="0" applyAlignment="1" applyBorder="1" applyFill="1" applyFont="1" applyNumberFormat="1">
      <alignment horizontal="right" shrinkToFit="0" vertical="top" wrapText="1"/>
    </xf>
    <xf borderId="1" fillId="2" fontId="5" numFmtId="2" xfId="0" applyAlignment="1" applyBorder="1" applyFill="1" applyFont="1" applyNumberFormat="1">
      <alignment shrinkToFit="0" vertical="bottom" wrapText="1"/>
    </xf>
    <xf borderId="9" fillId="0" fontId="4" numFmtId="167" xfId="0" applyAlignment="1" applyBorder="1" applyFont="1" applyNumberFormat="1">
      <alignment horizontal="right" shrinkToFit="0" vertical="top" wrapText="1"/>
    </xf>
    <xf borderId="11" fillId="0" fontId="4" numFmtId="167" xfId="0" applyAlignment="1" applyBorder="1" applyFont="1" applyNumberFormat="1">
      <alignment horizontal="right" shrinkToFit="0" vertical="top" wrapText="1"/>
    </xf>
    <xf borderId="13" fillId="0" fontId="4" numFmtId="167" xfId="0" applyAlignment="1" applyBorder="1" applyFont="1" applyNumberFormat="1">
      <alignment horizontal="right" shrinkToFit="0" vertical="top" wrapText="1"/>
    </xf>
    <xf borderId="23" fillId="2" fontId="5" numFmtId="0" xfId="0" applyAlignment="1" applyBorder="1" applyFill="1" applyFont="1">
      <alignment shrinkToFit="0" vertical="bottom" wrapText="1"/>
    </xf>
    <xf borderId="9" fillId="6" fontId="6" numFmtId="0" xfId="0" applyAlignment="1" applyBorder="1" applyFill="1" applyFont="1">
      <alignment shrinkToFit="0" vertical="top" wrapText="1"/>
    </xf>
    <xf borderId="11" fillId="6" fontId="6" numFmtId="0" xfId="0" applyAlignment="1" applyBorder="1" applyFill="1" applyFont="1">
      <alignment shrinkToFit="0" vertical="top" wrapText="1"/>
    </xf>
    <xf borderId="11" fillId="5" fontId="6" numFmtId="0" xfId="0" applyAlignment="1" applyBorder="1" applyFill="1" applyFont="1">
      <alignment shrinkToFit="0" vertical="top" wrapText="1"/>
    </xf>
    <xf borderId="11" fillId="9" fontId="6" numFmtId="0" xfId="0" applyAlignment="1" applyBorder="1" applyFill="1" applyFont="1">
      <alignment shrinkToFit="0" vertical="top" wrapText="1"/>
    </xf>
    <xf borderId="13" fillId="3" fontId="6" numFmtId="0" xfId="0" applyAlignment="1" applyBorder="1" applyFill="1" applyFont="1">
      <alignment shrinkToFit="0" vertical="top" wrapText="1"/>
    </xf>
    <xf borderId="10" fillId="3" fontId="4" numFmtId="0" xfId="0" applyAlignment="1" applyBorder="1" applyFill="1" applyFont="1">
      <alignment shrinkToFit="0" vertical="top" wrapText="1"/>
    </xf>
    <xf borderId="12" fillId="4" fontId="4" numFmtId="0" xfId="0" applyAlignment="1" applyBorder="1" applyFill="1" applyFont="1">
      <alignment horizontal="right" shrinkToFit="0" vertical="top" wrapText="1"/>
    </xf>
    <xf borderId="12" fillId="4" fontId="4" numFmtId="9" xfId="0" applyAlignment="1" applyBorder="1" applyFill="1" applyFont="1" applyNumberFormat="1">
      <alignment horizontal="right" shrinkToFit="0" vertical="top" wrapText="1"/>
    </xf>
    <xf borderId="12" fillId="4" fontId="4" numFmtId="0" xfId="0" applyAlignment="1" applyBorder="1" applyFill="1" applyFont="1">
      <alignment shrinkToFit="0" vertical="top" wrapText="1"/>
    </xf>
    <xf borderId="16" fillId="4" fontId="4" numFmtId="0" xfId="0" applyAlignment="1" applyBorder="1" applyFill="1" applyFont="1">
      <alignment shrinkToFit="0" vertical="top" wrapText="1"/>
    </xf>
    <xf borderId="9" fillId="0" fontId="4" numFmtId="0" xfId="0" applyAlignment="1" applyBorder="1" applyFont="1">
      <alignment horizontal="right" shrinkToFit="0" vertical="top" wrapText="1"/>
    </xf>
    <xf borderId="11" fillId="0" fontId="4" numFmtId="0" xfId="0" applyAlignment="1" applyBorder="1" applyFont="1">
      <alignment horizontal="right" shrinkToFit="0" vertical="top" wrapText="1"/>
    </xf>
    <xf borderId="11" fillId="0" fontId="4" numFmtId="164" xfId="0" applyAlignment="1" applyBorder="1" applyFont="1" applyNumberFormat="1">
      <alignment horizontal="right" shrinkToFit="0" vertical="top" wrapText="1"/>
    </xf>
    <xf borderId="13" fillId="0" fontId="4" numFmtId="0" xfId="0" applyAlignment="1" applyBorder="1" applyFont="1">
      <alignment horizontal="right" shrinkToFit="0" vertical="top" wrapText="1"/>
    </xf>
    <xf borderId="13" fillId="6" fontId="6" numFmtId="0" xfId="0" applyAlignment="1" applyBorder="1" applyFill="1" applyFont="1">
      <alignment shrinkToFit="0" vertical="top" wrapText="1"/>
    </xf>
    <xf borderId="23" fillId="2" fontId="10" numFmtId="0" xfId="0" applyAlignment="1" applyBorder="1" applyFill="1" applyFont="1">
      <alignment shrinkToFit="0" vertical="bottom" wrapText="1"/>
    </xf>
    <xf borderId="24" fillId="3" fontId="1" numFmtId="0" xfId="0" applyAlignment="1" applyBorder="1" applyFill="1" applyFont="1">
      <alignment horizontal="center" shrinkToFit="0" wrapText="1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11" fillId="0" fontId="4" numFmtId="164" xfId="0" applyAlignment="1" applyBorder="1" applyFont="1" applyNumberFormat="1">
      <alignment shrinkToFit="0" vertical="top" wrapText="1"/>
    </xf>
    <xf borderId="11" fillId="0" fontId="4" numFmtId="9" xfId="0" applyAlignment="1" applyBorder="1" applyFont="1" applyNumberFormat="1">
      <alignment shrinkToFit="0" vertical="top" wrapText="1"/>
    </xf>
    <xf borderId="11" fillId="0" fontId="4" numFmtId="165" xfId="0" applyAlignment="1" applyBorder="1" applyFont="1" applyNumberFormat="1">
      <alignment shrinkToFit="0" vertical="top" wrapText="1"/>
    </xf>
    <xf borderId="0" fillId="0" fontId="3" numFmtId="165" xfId="0" applyAlignment="1" applyFont="1" applyNumberFormat="1">
      <alignment shrinkToFit="0" vertical="bottom" wrapText="1"/>
    </xf>
    <xf borderId="0" fillId="0" fontId="3" numFmtId="166" xfId="0" applyAlignment="1" applyFont="1" applyNumberFormat="1">
      <alignment shrinkToFit="0" vertical="bottom" wrapText="1"/>
    </xf>
    <xf borderId="0" fillId="0" fontId="3" numFmtId="2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8</v>
      </c>
      <c r="B4" s="9" t="s">
        <v>20</v>
      </c>
      <c r="C4" s="4"/>
      <c r="D4" s="6" t="s">
        <v>30</v>
      </c>
      <c r="E4" s="15">
        <f>Assumptions!B6</f>
        <v>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53</v>
      </c>
      <c r="B7" s="3"/>
      <c r="C7" s="16" t="s">
        <v>64</v>
      </c>
      <c r="D7" s="3"/>
      <c r="E7" s="16" t="s">
        <v>65</v>
      </c>
      <c r="F7" s="3"/>
      <c r="G7" s="16" t="s">
        <v>67</v>
      </c>
      <c r="H7" s="3"/>
      <c r="I7" s="16" t="s">
        <v>71</v>
      </c>
      <c r="J7" s="3"/>
      <c r="K7" s="16" t="s">
        <v>73</v>
      </c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>
        <f>IF($B$4="Full ₹25L",'Scenario Compare'!B12,'Scenario Compare'!C12)</f>
        <v>25</v>
      </c>
      <c r="B8" s="26"/>
      <c r="C8" s="30">
        <f>MIN(A8,$E$4)</f>
        <v>20</v>
      </c>
      <c r="D8" s="26"/>
      <c r="E8" s="30">
        <f>MAX(A8-C8,0)</f>
        <v>5</v>
      </c>
      <c r="F8" s="26"/>
      <c r="G8" s="32">
        <f>IF($B$4="Full ₹25L",'Scenario Compare'!E10,'Scenario Compare'!F10)</f>
        <v>0.1</v>
      </c>
      <c r="H8" s="26"/>
      <c r="I8" s="33">
        <f>Assumptions!B7</f>
        <v>6</v>
      </c>
      <c r="J8" s="26"/>
      <c r="K8" s="34">
        <f>(Assumptions!B14*Assumptions!B15)/100000</f>
        <v>0.2495</v>
      </c>
      <c r="L8" s="3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6"/>
      <c r="B9" s="38"/>
      <c r="C9" s="39"/>
      <c r="D9" s="38"/>
      <c r="E9" s="39"/>
      <c r="F9" s="38"/>
      <c r="G9" s="39"/>
      <c r="H9" s="38"/>
      <c r="I9" s="39"/>
      <c r="J9" s="38"/>
      <c r="K9" s="39"/>
      <c r="L9" s="4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2" t="s">
        <v>149</v>
      </c>
      <c r="B11" s="2"/>
      <c r="C11" s="2"/>
      <c r="D11" s="2"/>
      <c r="E11" s="2"/>
      <c r="F11" s="3"/>
      <c r="G11" s="42" t="s">
        <v>152</v>
      </c>
      <c r="H11" s="2"/>
      <c r="I11" s="2"/>
      <c r="J11" s="2"/>
      <c r="K11" s="2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4" t="s">
        <v>156</v>
      </c>
      <c r="B12" s="45"/>
      <c r="C12" s="12" t="s">
        <v>159</v>
      </c>
      <c r="D12" s="45"/>
      <c r="E12" s="45"/>
      <c r="F12" s="45"/>
      <c r="G12" s="46" t="s">
        <v>163</v>
      </c>
      <c r="H12" s="12" t="s">
        <v>164</v>
      </c>
      <c r="I12" s="45"/>
      <c r="J12" s="46" t="s">
        <v>166</v>
      </c>
      <c r="K12" s="12" t="s">
        <v>167</v>
      </c>
      <c r="L12" s="4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7" t="s">
        <v>170</v>
      </c>
      <c r="B13" s="48"/>
      <c r="C13" s="18" t="s">
        <v>172</v>
      </c>
      <c r="D13" s="48"/>
      <c r="E13" s="48"/>
      <c r="F13" s="48"/>
      <c r="G13" s="49" t="s">
        <v>174</v>
      </c>
      <c r="H13" s="18" t="s">
        <v>175</v>
      </c>
      <c r="I13" s="48"/>
      <c r="J13" s="49" t="s">
        <v>177</v>
      </c>
      <c r="K13" s="18" t="s">
        <v>178</v>
      </c>
      <c r="L13" s="4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7" t="s">
        <v>182</v>
      </c>
      <c r="B14" s="48"/>
      <c r="C14" s="18" t="s">
        <v>184</v>
      </c>
      <c r="D14" s="48"/>
      <c r="E14" s="48"/>
      <c r="F14" s="48"/>
      <c r="G14" s="49" t="s">
        <v>187</v>
      </c>
      <c r="H14" s="18" t="s">
        <v>188</v>
      </c>
      <c r="I14" s="48"/>
      <c r="J14" s="49" t="s">
        <v>189</v>
      </c>
      <c r="K14" s="18" t="s">
        <v>190</v>
      </c>
      <c r="L14" s="4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0" t="s">
        <v>194</v>
      </c>
      <c r="B15" s="51"/>
      <c r="C15" s="23" t="s">
        <v>196</v>
      </c>
      <c r="D15" s="51"/>
      <c r="E15" s="51"/>
      <c r="F15" s="51"/>
      <c r="G15" s="52" t="s">
        <v>198</v>
      </c>
      <c r="H15" s="23" t="s">
        <v>200</v>
      </c>
      <c r="I15" s="51"/>
      <c r="J15" s="52" t="s">
        <v>201</v>
      </c>
      <c r="K15" s="23" t="s">
        <v>203</v>
      </c>
      <c r="L15" s="5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2" t="s">
        <v>208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 t="s">
        <v>50</v>
      </c>
      <c r="B18" s="13">
        <f>IF($B$4="Full ₹25L",'Scenario Compare'!B5,'Scenario Compare'!C5)</f>
        <v>8.5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130</v>
      </c>
      <c r="B19" s="20">
        <f>IF($B$4="Full ₹25L",'Scenario Compare'!B6,'Scenario Compare'!C6)</f>
        <v>7.25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155</v>
      </c>
      <c r="B20" s="20">
        <f>IF($B$4="Full ₹25L",'Scenario Compare'!B7,'Scenario Compare'!C7)</f>
        <v>2.25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185</v>
      </c>
      <c r="B21" s="20">
        <f>IF($B$4="Full ₹25L",'Scenario Compare'!B8,'Scenario Compare'!C8)</f>
        <v>1.5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8" t="s">
        <v>209</v>
      </c>
      <c r="B22" s="20">
        <f>IF($B$4="Full ₹25L",'Scenario Compare'!B9,'Scenario Compare'!C9)</f>
        <v>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 t="s">
        <v>224</v>
      </c>
      <c r="B23" s="20">
        <f>IF($B$4="Full ₹25L",'Scenario Compare'!B10,'Scenario Compare'!C10)</f>
        <v>2.5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3" t="s">
        <v>237</v>
      </c>
      <c r="B24" s="24">
        <f>IF($B$4="Full ₹25L",'Scenario Compare'!B11,'Scenario Compare'!C11)</f>
        <v>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3">
    <mergeCell ref="A1:L1"/>
    <mergeCell ref="A2:L2"/>
    <mergeCell ref="C7:D7"/>
    <mergeCell ref="E7:F7"/>
    <mergeCell ref="G7:H7"/>
    <mergeCell ref="I7:J7"/>
    <mergeCell ref="K7:L7"/>
    <mergeCell ref="A7:B7"/>
    <mergeCell ref="A8:B9"/>
    <mergeCell ref="C8:D9"/>
    <mergeCell ref="E8:F9"/>
    <mergeCell ref="G8:H9"/>
    <mergeCell ref="I8:J9"/>
    <mergeCell ref="K8:L9"/>
    <mergeCell ref="H12:I12"/>
    <mergeCell ref="H13:I13"/>
    <mergeCell ref="H14:I14"/>
    <mergeCell ref="K14:L14"/>
    <mergeCell ref="H15:I15"/>
    <mergeCell ref="K15:L15"/>
    <mergeCell ref="A13:B13"/>
    <mergeCell ref="A14:B14"/>
    <mergeCell ref="C14:F14"/>
    <mergeCell ref="A15:B15"/>
    <mergeCell ref="C15:F15"/>
    <mergeCell ref="A17:B17"/>
    <mergeCell ref="A11:F11"/>
    <mergeCell ref="G11:L11"/>
    <mergeCell ref="A12:B12"/>
    <mergeCell ref="C12:F12"/>
    <mergeCell ref="K12:L12"/>
    <mergeCell ref="C13:F13"/>
    <mergeCell ref="K13:L13"/>
  </mergeCells>
  <dataValidations>
    <dataValidation type="list" allowBlank="1" sqref="B4">
      <formula1>"Full ₹25L,Lean ₹20L"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11</v>
      </c>
      <c r="B4" s="8" t="s">
        <v>12</v>
      </c>
      <c r="C4" s="8" t="s">
        <v>13</v>
      </c>
      <c r="D4" s="8" t="s">
        <v>14</v>
      </c>
      <c r="E4" s="8" t="s">
        <v>16</v>
      </c>
      <c r="F4" s="8" t="s">
        <v>17</v>
      </c>
      <c r="G4" s="8" t="s">
        <v>18</v>
      </c>
      <c r="H4" s="8" t="s">
        <v>21</v>
      </c>
      <c r="I4" s="8" t="s">
        <v>23</v>
      </c>
      <c r="J4" s="8" t="s">
        <v>24</v>
      </c>
      <c r="K4" s="8" t="s">
        <v>26</v>
      </c>
      <c r="L4" s="8" t="s">
        <v>27</v>
      </c>
      <c r="M4" s="8" t="s">
        <v>29</v>
      </c>
      <c r="N4" s="10" t="s">
        <v>33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 t="s">
        <v>43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50</v>
      </c>
      <c r="B6" s="12" t="s">
        <v>51</v>
      </c>
      <c r="C6" s="12" t="s">
        <v>52</v>
      </c>
      <c r="D6" s="14">
        <v>1.0</v>
      </c>
      <c r="E6" s="14">
        <f>ROUND((Assumptions!$B$10*Assumptions!$B$9*(1+Assumptions!$B$11)*(1+Assumptions!$B$12))/100000,2)</f>
        <v>5.75</v>
      </c>
      <c r="F6" s="19">
        <f t="shared" ref="F6:F34" si="1">D6*E6</f>
        <v>5.75</v>
      </c>
      <c r="G6" s="14">
        <v>1.0</v>
      </c>
      <c r="H6" s="14">
        <f>ROUND((Assumptions!$B$10*Assumptions!$B$9*(1+Assumptions!$B$11)*(1+Assumptions!$B$12))/100000,2)</f>
        <v>5.75</v>
      </c>
      <c r="I6" s="22">
        <f t="shared" ref="I6:I34" si="2">G6*H6</f>
        <v>5.75</v>
      </c>
      <c r="J6" s="12" t="s">
        <v>93</v>
      </c>
      <c r="K6" s="12" t="s">
        <v>94</v>
      </c>
      <c r="L6" s="12" t="s">
        <v>45</v>
      </c>
      <c r="M6" s="12" t="s">
        <v>95</v>
      </c>
      <c r="N6" s="12" t="s">
        <v>96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50</v>
      </c>
      <c r="B7" s="18" t="s">
        <v>101</v>
      </c>
      <c r="C7" s="18" t="s">
        <v>52</v>
      </c>
      <c r="D7" s="27">
        <v>1.0</v>
      </c>
      <c r="E7" s="27">
        <v>1.85</v>
      </c>
      <c r="F7" s="28">
        <f t="shared" si="1"/>
        <v>1.85</v>
      </c>
      <c r="G7" s="27">
        <v>1.0</v>
      </c>
      <c r="H7" s="27">
        <v>1.1</v>
      </c>
      <c r="I7" s="31">
        <f t="shared" si="2"/>
        <v>1.1</v>
      </c>
      <c r="J7" s="18" t="s">
        <v>93</v>
      </c>
      <c r="K7" s="18" t="s">
        <v>94</v>
      </c>
      <c r="L7" s="18" t="s">
        <v>45</v>
      </c>
      <c r="M7" s="18" t="s">
        <v>108</v>
      </c>
      <c r="N7" s="18" t="s">
        <v>109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50</v>
      </c>
      <c r="B8" s="18" t="s">
        <v>114</v>
      </c>
      <c r="C8" s="18" t="s">
        <v>52</v>
      </c>
      <c r="D8" s="27">
        <v>1.0</v>
      </c>
      <c r="E8" s="27">
        <v>0.45</v>
      </c>
      <c r="F8" s="28">
        <f t="shared" si="1"/>
        <v>0.45</v>
      </c>
      <c r="G8" s="27">
        <v>1.0</v>
      </c>
      <c r="H8" s="27">
        <v>0.3</v>
      </c>
      <c r="I8" s="31">
        <f t="shared" si="2"/>
        <v>0.3</v>
      </c>
      <c r="J8" s="18" t="s">
        <v>93</v>
      </c>
      <c r="K8" s="18" t="s">
        <v>94</v>
      </c>
      <c r="L8" s="18" t="s">
        <v>45</v>
      </c>
      <c r="M8" s="18" t="s">
        <v>119</v>
      </c>
      <c r="N8" s="18" t="s">
        <v>120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50</v>
      </c>
      <c r="B9" s="18" t="s">
        <v>121</v>
      </c>
      <c r="C9" s="18" t="s">
        <v>122</v>
      </c>
      <c r="D9" s="27">
        <v>1.0</v>
      </c>
      <c r="E9" s="27">
        <v>0.45</v>
      </c>
      <c r="F9" s="28">
        <f t="shared" si="1"/>
        <v>0.45</v>
      </c>
      <c r="G9" s="27">
        <v>1.0</v>
      </c>
      <c r="H9" s="27">
        <v>0.35</v>
      </c>
      <c r="I9" s="31">
        <f t="shared" si="2"/>
        <v>0.35</v>
      </c>
      <c r="J9" s="18" t="s">
        <v>93</v>
      </c>
      <c r="K9" s="18" t="s">
        <v>94</v>
      </c>
      <c r="L9" s="18" t="s">
        <v>45</v>
      </c>
      <c r="M9" s="18" t="s">
        <v>119</v>
      </c>
      <c r="N9" s="18" t="s">
        <v>126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130</v>
      </c>
      <c r="B10" s="18" t="s">
        <v>132</v>
      </c>
      <c r="C10" s="18" t="s">
        <v>133</v>
      </c>
      <c r="D10" s="27">
        <v>2.5</v>
      </c>
      <c r="E10" s="27">
        <v>1.1</v>
      </c>
      <c r="F10" s="28">
        <f t="shared" si="1"/>
        <v>2.75</v>
      </c>
      <c r="G10" s="27">
        <v>2.0</v>
      </c>
      <c r="H10" s="27">
        <v>1.1</v>
      </c>
      <c r="I10" s="31">
        <f t="shared" si="2"/>
        <v>2.2</v>
      </c>
      <c r="J10" s="18" t="s">
        <v>134</v>
      </c>
      <c r="K10" s="18" t="s">
        <v>135</v>
      </c>
      <c r="L10" s="18" t="s">
        <v>136</v>
      </c>
      <c r="M10" s="18" t="s">
        <v>137</v>
      </c>
      <c r="N10" s="18" t="s">
        <v>138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130</v>
      </c>
      <c r="B11" s="18" t="s">
        <v>140</v>
      </c>
      <c r="C11" s="18" t="s">
        <v>133</v>
      </c>
      <c r="D11" s="27">
        <v>2.5</v>
      </c>
      <c r="E11" s="27">
        <v>0.85</v>
      </c>
      <c r="F11" s="28">
        <f t="shared" si="1"/>
        <v>2.125</v>
      </c>
      <c r="G11" s="27">
        <v>2.0</v>
      </c>
      <c r="H11" s="27">
        <v>0.85</v>
      </c>
      <c r="I11" s="31">
        <f t="shared" si="2"/>
        <v>1.7</v>
      </c>
      <c r="J11" s="18" t="s">
        <v>134</v>
      </c>
      <c r="K11" s="18" t="s">
        <v>142</v>
      </c>
      <c r="L11" s="18" t="s">
        <v>136</v>
      </c>
      <c r="M11" s="18" t="s">
        <v>137</v>
      </c>
      <c r="N11" s="18" t="s">
        <v>144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130</v>
      </c>
      <c r="B12" s="18" t="s">
        <v>145</v>
      </c>
      <c r="C12" s="18" t="s">
        <v>133</v>
      </c>
      <c r="D12" s="27">
        <v>1.5</v>
      </c>
      <c r="E12" s="27">
        <v>0.85</v>
      </c>
      <c r="F12" s="28">
        <f t="shared" si="1"/>
        <v>1.275</v>
      </c>
      <c r="G12" s="27">
        <v>1.0</v>
      </c>
      <c r="H12" s="27">
        <v>0.9</v>
      </c>
      <c r="I12" s="31">
        <f t="shared" si="2"/>
        <v>0.9</v>
      </c>
      <c r="J12" s="18" t="s">
        <v>134</v>
      </c>
      <c r="K12" s="18" t="s">
        <v>135</v>
      </c>
      <c r="L12" s="18" t="s">
        <v>146</v>
      </c>
      <c r="M12" s="18" t="s">
        <v>137</v>
      </c>
      <c r="N12" s="18" t="s">
        <v>147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130</v>
      </c>
      <c r="B13" s="18" t="s">
        <v>148</v>
      </c>
      <c r="C13" s="18" t="s">
        <v>122</v>
      </c>
      <c r="D13" s="27">
        <v>1.0</v>
      </c>
      <c r="E13" s="27">
        <v>0.55</v>
      </c>
      <c r="F13" s="28">
        <f t="shared" si="1"/>
        <v>0.55</v>
      </c>
      <c r="G13" s="27">
        <v>1.0</v>
      </c>
      <c r="H13" s="27">
        <v>0.45</v>
      </c>
      <c r="I13" s="31">
        <f t="shared" si="2"/>
        <v>0.45</v>
      </c>
      <c r="J13" s="18" t="s">
        <v>134</v>
      </c>
      <c r="K13" s="18" t="s">
        <v>142</v>
      </c>
      <c r="L13" s="18" t="s">
        <v>150</v>
      </c>
      <c r="M13" s="18" t="s">
        <v>119</v>
      </c>
      <c r="N13" s="18" t="s">
        <v>151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130</v>
      </c>
      <c r="B14" s="18" t="s">
        <v>153</v>
      </c>
      <c r="C14" s="18" t="s">
        <v>122</v>
      </c>
      <c r="D14" s="27">
        <v>1.0</v>
      </c>
      <c r="E14" s="27">
        <v>0.55</v>
      </c>
      <c r="F14" s="28">
        <f t="shared" si="1"/>
        <v>0.55</v>
      </c>
      <c r="G14" s="27">
        <v>1.0</v>
      </c>
      <c r="H14" s="27">
        <v>0.45</v>
      </c>
      <c r="I14" s="31">
        <f t="shared" si="2"/>
        <v>0.45</v>
      </c>
      <c r="J14" s="18" t="s">
        <v>134</v>
      </c>
      <c r="K14" s="18" t="s">
        <v>142</v>
      </c>
      <c r="L14" s="18" t="s">
        <v>150</v>
      </c>
      <c r="M14" s="18" t="s">
        <v>119</v>
      </c>
      <c r="N14" s="18" t="s">
        <v>154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155</v>
      </c>
      <c r="B15" s="18" t="s">
        <v>157</v>
      </c>
      <c r="C15" s="18" t="s">
        <v>158</v>
      </c>
      <c r="D15" s="27">
        <v>6.0</v>
      </c>
      <c r="E15" s="27">
        <v>0.125</v>
      </c>
      <c r="F15" s="28">
        <f t="shared" si="1"/>
        <v>0.75</v>
      </c>
      <c r="G15" s="27">
        <v>6.0</v>
      </c>
      <c r="H15" s="27">
        <v>0.075</v>
      </c>
      <c r="I15" s="31">
        <f t="shared" si="2"/>
        <v>0.45</v>
      </c>
      <c r="J15" s="18" t="s">
        <v>160</v>
      </c>
      <c r="K15" s="18" t="s">
        <v>135</v>
      </c>
      <c r="L15" s="18" t="s">
        <v>161</v>
      </c>
      <c r="M15" s="18" t="s">
        <v>119</v>
      </c>
      <c r="N15" s="18" t="s">
        <v>162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155</v>
      </c>
      <c r="B16" s="18" t="s">
        <v>165</v>
      </c>
      <c r="C16" s="18" t="s">
        <v>158</v>
      </c>
      <c r="D16" s="27">
        <v>6.0</v>
      </c>
      <c r="E16" s="27">
        <v>0.1</v>
      </c>
      <c r="F16" s="28">
        <f t="shared" si="1"/>
        <v>0.6</v>
      </c>
      <c r="G16" s="27">
        <v>6.0</v>
      </c>
      <c r="H16" s="27">
        <v>0.075</v>
      </c>
      <c r="I16" s="31">
        <f t="shared" si="2"/>
        <v>0.45</v>
      </c>
      <c r="J16" s="18" t="s">
        <v>168</v>
      </c>
      <c r="K16" s="18" t="s">
        <v>135</v>
      </c>
      <c r="L16" s="18" t="s">
        <v>161</v>
      </c>
      <c r="M16" s="18" t="s">
        <v>119</v>
      </c>
      <c r="N16" s="18" t="s">
        <v>169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155</v>
      </c>
      <c r="B17" s="18" t="s">
        <v>171</v>
      </c>
      <c r="C17" s="18" t="s">
        <v>158</v>
      </c>
      <c r="D17" s="27">
        <v>6.0</v>
      </c>
      <c r="E17" s="27">
        <v>0.075</v>
      </c>
      <c r="F17" s="28">
        <f t="shared" si="1"/>
        <v>0.45</v>
      </c>
      <c r="G17" s="27">
        <v>6.0</v>
      </c>
      <c r="H17" s="27">
        <v>0.05</v>
      </c>
      <c r="I17" s="31">
        <f t="shared" si="2"/>
        <v>0.3</v>
      </c>
      <c r="J17" s="18" t="s">
        <v>160</v>
      </c>
      <c r="K17" s="18" t="s">
        <v>142</v>
      </c>
      <c r="L17" s="18" t="s">
        <v>161</v>
      </c>
      <c r="M17" s="18" t="s">
        <v>119</v>
      </c>
      <c r="N17" s="18" t="s">
        <v>173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155</v>
      </c>
      <c r="B18" s="18" t="s">
        <v>176</v>
      </c>
      <c r="C18" s="18" t="s">
        <v>158</v>
      </c>
      <c r="D18" s="27">
        <v>6.0</v>
      </c>
      <c r="E18" s="27">
        <v>0.075</v>
      </c>
      <c r="F18" s="28">
        <f t="shared" si="1"/>
        <v>0.45</v>
      </c>
      <c r="G18" s="27">
        <v>6.0</v>
      </c>
      <c r="H18" s="27">
        <v>0.05</v>
      </c>
      <c r="I18" s="31">
        <f t="shared" si="2"/>
        <v>0.3</v>
      </c>
      <c r="J18" s="18" t="s">
        <v>179</v>
      </c>
      <c r="K18" s="18" t="s">
        <v>180</v>
      </c>
      <c r="L18" s="18" t="s">
        <v>181</v>
      </c>
      <c r="M18" s="18" t="s">
        <v>119</v>
      </c>
      <c r="N18" s="18" t="s">
        <v>183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185</v>
      </c>
      <c r="B19" s="18" t="s">
        <v>186</v>
      </c>
      <c r="C19" s="18" t="s">
        <v>122</v>
      </c>
      <c r="D19" s="27">
        <v>1.0</v>
      </c>
      <c r="E19" s="27">
        <v>0.6</v>
      </c>
      <c r="F19" s="28">
        <f t="shared" si="1"/>
        <v>0.6</v>
      </c>
      <c r="G19" s="27">
        <v>1.0</v>
      </c>
      <c r="H19" s="27">
        <v>0.5</v>
      </c>
      <c r="I19" s="31">
        <f t="shared" si="2"/>
        <v>0.5</v>
      </c>
      <c r="J19" s="18" t="s">
        <v>191</v>
      </c>
      <c r="K19" s="18" t="s">
        <v>180</v>
      </c>
      <c r="L19" s="18" t="s">
        <v>192</v>
      </c>
      <c r="M19" s="18" t="s">
        <v>119</v>
      </c>
      <c r="N19" s="18" t="s">
        <v>193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185</v>
      </c>
      <c r="B20" s="18" t="s">
        <v>195</v>
      </c>
      <c r="C20" s="18" t="s">
        <v>122</v>
      </c>
      <c r="D20" s="27">
        <v>1.0</v>
      </c>
      <c r="E20" s="27">
        <v>0.35</v>
      </c>
      <c r="F20" s="28">
        <f t="shared" si="1"/>
        <v>0.35</v>
      </c>
      <c r="G20" s="27">
        <v>1.0</v>
      </c>
      <c r="H20" s="27">
        <v>0.25</v>
      </c>
      <c r="I20" s="31">
        <f t="shared" si="2"/>
        <v>0.25</v>
      </c>
      <c r="J20" s="18" t="s">
        <v>197</v>
      </c>
      <c r="K20" s="18" t="s">
        <v>180</v>
      </c>
      <c r="L20" s="18" t="s">
        <v>192</v>
      </c>
      <c r="M20" s="18" t="s">
        <v>119</v>
      </c>
      <c r="N20" s="18" t="s">
        <v>199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185</v>
      </c>
      <c r="B21" s="18" t="s">
        <v>202</v>
      </c>
      <c r="C21" s="18" t="s">
        <v>122</v>
      </c>
      <c r="D21" s="27">
        <v>1.0</v>
      </c>
      <c r="E21" s="27">
        <v>0.3</v>
      </c>
      <c r="F21" s="28">
        <f t="shared" si="1"/>
        <v>0.3</v>
      </c>
      <c r="G21" s="27">
        <v>1.0</v>
      </c>
      <c r="H21" s="27">
        <v>0.25</v>
      </c>
      <c r="I21" s="31">
        <f t="shared" si="2"/>
        <v>0.25</v>
      </c>
      <c r="J21" s="18" t="s">
        <v>204</v>
      </c>
      <c r="K21" s="18" t="s">
        <v>180</v>
      </c>
      <c r="L21" s="18" t="s">
        <v>104</v>
      </c>
      <c r="M21" s="18" t="s">
        <v>119</v>
      </c>
      <c r="N21" s="18" t="s">
        <v>205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8" t="s">
        <v>185</v>
      </c>
      <c r="B22" s="18" t="s">
        <v>206</v>
      </c>
      <c r="C22" s="18" t="s">
        <v>122</v>
      </c>
      <c r="D22" s="27">
        <v>1.0</v>
      </c>
      <c r="E22" s="27">
        <v>0.25</v>
      </c>
      <c r="F22" s="28">
        <f t="shared" si="1"/>
        <v>0.25</v>
      </c>
      <c r="G22" s="27">
        <v>1.0</v>
      </c>
      <c r="H22" s="27">
        <v>0.2</v>
      </c>
      <c r="I22" s="31">
        <f t="shared" si="2"/>
        <v>0.2</v>
      </c>
      <c r="J22" s="18" t="s">
        <v>179</v>
      </c>
      <c r="K22" s="18" t="s">
        <v>180</v>
      </c>
      <c r="L22" s="18" t="s">
        <v>192</v>
      </c>
      <c r="M22" s="18" t="s">
        <v>119</v>
      </c>
      <c r="N22" s="18" t="s">
        <v>207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 t="s">
        <v>209</v>
      </c>
      <c r="B23" s="18" t="s">
        <v>210</v>
      </c>
      <c r="C23" s="18" t="s">
        <v>211</v>
      </c>
      <c r="D23" s="27">
        <v>50.0</v>
      </c>
      <c r="E23" s="27">
        <v>0.005</v>
      </c>
      <c r="F23" s="28">
        <f t="shared" si="1"/>
        <v>0.25</v>
      </c>
      <c r="G23" s="27">
        <v>30.0</v>
      </c>
      <c r="H23" s="27">
        <v>0.005</v>
      </c>
      <c r="I23" s="31">
        <f t="shared" si="2"/>
        <v>0.15</v>
      </c>
      <c r="J23" s="18" t="s">
        <v>212</v>
      </c>
      <c r="K23" s="18" t="s">
        <v>213</v>
      </c>
      <c r="L23" s="18" t="s">
        <v>192</v>
      </c>
      <c r="M23" s="18" t="s">
        <v>214</v>
      </c>
      <c r="N23" s="18" t="s">
        <v>215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" t="s">
        <v>209</v>
      </c>
      <c r="B24" s="18" t="s">
        <v>216</v>
      </c>
      <c r="C24" s="18" t="s">
        <v>122</v>
      </c>
      <c r="D24" s="27">
        <v>1.0</v>
      </c>
      <c r="E24" s="27">
        <v>0.35</v>
      </c>
      <c r="F24" s="28">
        <f t="shared" si="1"/>
        <v>0.35</v>
      </c>
      <c r="G24" s="27">
        <v>1.0</v>
      </c>
      <c r="H24" s="27">
        <v>0.2</v>
      </c>
      <c r="I24" s="31">
        <f t="shared" si="2"/>
        <v>0.2</v>
      </c>
      <c r="J24" s="18" t="s">
        <v>134</v>
      </c>
      <c r="K24" s="18" t="s">
        <v>213</v>
      </c>
      <c r="L24" s="18" t="s">
        <v>181</v>
      </c>
      <c r="M24" s="18" t="s">
        <v>119</v>
      </c>
      <c r="N24" s="18" t="s">
        <v>217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8" t="s">
        <v>209</v>
      </c>
      <c r="B25" s="18" t="s">
        <v>218</v>
      </c>
      <c r="C25" s="18" t="s">
        <v>122</v>
      </c>
      <c r="D25" s="27">
        <v>1.0</v>
      </c>
      <c r="E25" s="27">
        <v>0.25</v>
      </c>
      <c r="F25" s="28">
        <f t="shared" si="1"/>
        <v>0.25</v>
      </c>
      <c r="G25" s="27">
        <v>1.0</v>
      </c>
      <c r="H25" s="27">
        <v>0.15</v>
      </c>
      <c r="I25" s="31">
        <f t="shared" si="2"/>
        <v>0.15</v>
      </c>
      <c r="J25" s="18" t="s">
        <v>219</v>
      </c>
      <c r="K25" s="18" t="s">
        <v>213</v>
      </c>
      <c r="L25" s="18" t="s">
        <v>220</v>
      </c>
      <c r="M25" s="18" t="s">
        <v>119</v>
      </c>
      <c r="N25" s="18" t="s">
        <v>221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8" t="s">
        <v>209</v>
      </c>
      <c r="B26" s="18" t="s">
        <v>222</v>
      </c>
      <c r="C26" s="18" t="s">
        <v>122</v>
      </c>
      <c r="D26" s="27">
        <v>1.0</v>
      </c>
      <c r="E26" s="27">
        <v>0.15</v>
      </c>
      <c r="F26" s="28">
        <f t="shared" si="1"/>
        <v>0.15</v>
      </c>
      <c r="G26" s="27">
        <v>1.0</v>
      </c>
      <c r="H26" s="27">
        <v>0.1</v>
      </c>
      <c r="I26" s="31">
        <f t="shared" si="2"/>
        <v>0.1</v>
      </c>
      <c r="J26" s="18" t="s">
        <v>179</v>
      </c>
      <c r="K26" s="18" t="s">
        <v>213</v>
      </c>
      <c r="L26" s="18" t="s">
        <v>220</v>
      </c>
      <c r="M26" s="18" t="s">
        <v>119</v>
      </c>
      <c r="N26" s="18" t="s">
        <v>223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8" t="s">
        <v>224</v>
      </c>
      <c r="B27" s="18" t="s">
        <v>225</v>
      </c>
      <c r="C27" s="18" t="s">
        <v>122</v>
      </c>
      <c r="D27" s="27">
        <v>1.0</v>
      </c>
      <c r="E27" s="27">
        <v>1.1</v>
      </c>
      <c r="F27" s="28">
        <f t="shared" si="1"/>
        <v>1.1</v>
      </c>
      <c r="G27" s="27">
        <v>1.0</v>
      </c>
      <c r="H27" s="27">
        <v>0.85</v>
      </c>
      <c r="I27" s="31">
        <f t="shared" si="2"/>
        <v>0.85</v>
      </c>
      <c r="J27" s="18" t="s">
        <v>226</v>
      </c>
      <c r="K27" s="18" t="s">
        <v>227</v>
      </c>
      <c r="L27" s="18" t="s">
        <v>220</v>
      </c>
      <c r="M27" s="18" t="s">
        <v>228</v>
      </c>
      <c r="N27" s="18" t="s">
        <v>229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8" t="s">
        <v>224</v>
      </c>
      <c r="B28" s="18" t="s">
        <v>230</v>
      </c>
      <c r="C28" s="18" t="s">
        <v>122</v>
      </c>
      <c r="D28" s="27">
        <v>1.0</v>
      </c>
      <c r="E28" s="27">
        <v>0.55</v>
      </c>
      <c r="F28" s="28">
        <f t="shared" si="1"/>
        <v>0.55</v>
      </c>
      <c r="G28" s="27">
        <v>1.0</v>
      </c>
      <c r="H28" s="27">
        <v>0.4</v>
      </c>
      <c r="I28" s="31">
        <f t="shared" si="2"/>
        <v>0.4</v>
      </c>
      <c r="J28" s="18" t="s">
        <v>226</v>
      </c>
      <c r="K28" s="18" t="s">
        <v>227</v>
      </c>
      <c r="L28" s="18" t="s">
        <v>181</v>
      </c>
      <c r="M28" s="18" t="s">
        <v>119</v>
      </c>
      <c r="N28" s="18" t="s">
        <v>231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8" t="s">
        <v>224</v>
      </c>
      <c r="B29" s="18" t="s">
        <v>232</v>
      </c>
      <c r="C29" s="18" t="s">
        <v>122</v>
      </c>
      <c r="D29" s="27">
        <v>1.0</v>
      </c>
      <c r="E29" s="27">
        <v>0.35</v>
      </c>
      <c r="F29" s="28">
        <f t="shared" si="1"/>
        <v>0.35</v>
      </c>
      <c r="G29" s="27">
        <v>1.0</v>
      </c>
      <c r="H29" s="27">
        <v>0.3</v>
      </c>
      <c r="I29" s="31">
        <f t="shared" si="2"/>
        <v>0.3</v>
      </c>
      <c r="J29" s="18" t="s">
        <v>226</v>
      </c>
      <c r="K29" s="18" t="s">
        <v>227</v>
      </c>
      <c r="L29" s="18" t="s">
        <v>192</v>
      </c>
      <c r="M29" s="18" t="s">
        <v>119</v>
      </c>
      <c r="N29" s="18" t="s">
        <v>233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8" t="s">
        <v>224</v>
      </c>
      <c r="B30" s="18" t="s">
        <v>234</v>
      </c>
      <c r="C30" s="18" t="s">
        <v>122</v>
      </c>
      <c r="D30" s="27">
        <v>1.0</v>
      </c>
      <c r="E30" s="27">
        <v>0.3</v>
      </c>
      <c r="F30" s="28">
        <f t="shared" si="1"/>
        <v>0.3</v>
      </c>
      <c r="G30" s="27">
        <v>1.0</v>
      </c>
      <c r="H30" s="27">
        <v>0.25</v>
      </c>
      <c r="I30" s="31">
        <f t="shared" si="2"/>
        <v>0.25</v>
      </c>
      <c r="J30" s="18" t="s">
        <v>226</v>
      </c>
      <c r="K30" s="18" t="s">
        <v>227</v>
      </c>
      <c r="L30" s="18" t="s">
        <v>220</v>
      </c>
      <c r="M30" s="18" t="s">
        <v>119</v>
      </c>
      <c r="N30" s="18" t="s">
        <v>235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 t="s">
        <v>224</v>
      </c>
      <c r="B31" s="18" t="s">
        <v>236</v>
      </c>
      <c r="C31" s="18" t="s">
        <v>122</v>
      </c>
      <c r="D31" s="27">
        <v>1.0</v>
      </c>
      <c r="E31" s="27">
        <v>0.2</v>
      </c>
      <c r="F31" s="28">
        <f t="shared" si="1"/>
        <v>0.2</v>
      </c>
      <c r="G31" s="27">
        <v>1.0</v>
      </c>
      <c r="H31" s="27">
        <v>0.2</v>
      </c>
      <c r="I31" s="31">
        <f t="shared" si="2"/>
        <v>0.2</v>
      </c>
      <c r="J31" s="18" t="s">
        <v>238</v>
      </c>
      <c r="K31" s="18" t="s">
        <v>227</v>
      </c>
      <c r="L31" s="18" t="s">
        <v>181</v>
      </c>
      <c r="M31" s="18" t="s">
        <v>119</v>
      </c>
      <c r="N31" s="18" t="s">
        <v>239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8" t="s">
        <v>237</v>
      </c>
      <c r="B32" s="18" t="s">
        <v>240</v>
      </c>
      <c r="C32" s="18" t="s">
        <v>241</v>
      </c>
      <c r="D32" s="27">
        <v>1.0</v>
      </c>
      <c r="E32" s="27">
        <v>1.0</v>
      </c>
      <c r="F32" s="28">
        <f t="shared" si="1"/>
        <v>1</v>
      </c>
      <c r="G32" s="27">
        <v>1.0</v>
      </c>
      <c r="H32" s="27">
        <v>0.75</v>
      </c>
      <c r="I32" s="31">
        <f t="shared" si="2"/>
        <v>0.75</v>
      </c>
      <c r="J32" s="18" t="s">
        <v>242</v>
      </c>
      <c r="K32" s="18" t="s">
        <v>243</v>
      </c>
      <c r="L32" s="18" t="s">
        <v>244</v>
      </c>
      <c r="M32" s="18" t="s">
        <v>245</v>
      </c>
      <c r="N32" s="18" t="s">
        <v>246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237</v>
      </c>
      <c r="B33" s="18" t="s">
        <v>247</v>
      </c>
      <c r="C33" s="18" t="s">
        <v>241</v>
      </c>
      <c r="D33" s="27">
        <v>1.0</v>
      </c>
      <c r="E33" s="27">
        <v>0.6</v>
      </c>
      <c r="F33" s="28">
        <f t="shared" si="1"/>
        <v>0.6</v>
      </c>
      <c r="G33" s="27">
        <v>1.0</v>
      </c>
      <c r="H33" s="27">
        <v>0.45</v>
      </c>
      <c r="I33" s="31">
        <f t="shared" si="2"/>
        <v>0.45</v>
      </c>
      <c r="J33" s="18" t="s">
        <v>242</v>
      </c>
      <c r="K33" s="18" t="s">
        <v>243</v>
      </c>
      <c r="L33" s="18" t="s">
        <v>244</v>
      </c>
      <c r="M33" s="18" t="s">
        <v>245</v>
      </c>
      <c r="N33" s="18" t="s">
        <v>248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3" t="s">
        <v>237</v>
      </c>
      <c r="B34" s="23" t="s">
        <v>249</v>
      </c>
      <c r="C34" s="23" t="s">
        <v>241</v>
      </c>
      <c r="D34" s="53">
        <v>1.0</v>
      </c>
      <c r="E34" s="53">
        <v>0.4</v>
      </c>
      <c r="F34" s="54">
        <f t="shared" si="1"/>
        <v>0.4</v>
      </c>
      <c r="G34" s="53">
        <v>1.0</v>
      </c>
      <c r="H34" s="53">
        <v>0.3</v>
      </c>
      <c r="I34" s="55">
        <f t="shared" si="2"/>
        <v>0.3</v>
      </c>
      <c r="J34" s="23" t="s">
        <v>242</v>
      </c>
      <c r="K34" s="23" t="s">
        <v>243</v>
      </c>
      <c r="L34" s="23" t="s">
        <v>244</v>
      </c>
      <c r="M34" s="23" t="s">
        <v>245</v>
      </c>
      <c r="N34" s="23" t="s">
        <v>250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7" t="s">
        <v>251</v>
      </c>
      <c r="B35" s="2"/>
      <c r="C35" s="2"/>
      <c r="D35" s="2"/>
      <c r="E35" s="3"/>
      <c r="F35" s="41">
        <f>SUM(F6:F34)</f>
        <v>25</v>
      </c>
      <c r="G35" s="56" t="s">
        <v>252</v>
      </c>
      <c r="H35" s="3"/>
      <c r="I35" s="41">
        <f>SUM(I6:I34)</f>
        <v>20</v>
      </c>
      <c r="J35" s="43"/>
      <c r="K35" s="43"/>
      <c r="L35" s="43"/>
      <c r="M35" s="43"/>
      <c r="N35" s="4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N1"/>
    <mergeCell ref="A2:N2"/>
    <mergeCell ref="A5:N5"/>
    <mergeCell ref="A35:E35"/>
    <mergeCell ref="G35:H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9</v>
      </c>
      <c r="B4" s="8" t="s">
        <v>32</v>
      </c>
      <c r="C4" s="8" t="s">
        <v>36</v>
      </c>
      <c r="D4" s="8" t="s">
        <v>37</v>
      </c>
      <c r="E4" s="8" t="s">
        <v>38</v>
      </c>
      <c r="F4" s="8" t="s">
        <v>40</v>
      </c>
      <c r="G4" s="8" t="s">
        <v>41</v>
      </c>
      <c r="H4" s="8" t="s">
        <v>24</v>
      </c>
      <c r="I4" s="8" t="s">
        <v>42</v>
      </c>
      <c r="J4" s="10" t="s">
        <v>44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46</v>
      </c>
      <c r="B5" s="13">
        <f>'Detailed Budget'!F6</f>
        <v>5.75</v>
      </c>
      <c r="C5" s="13">
        <f>'Detailed Budget'!I6</f>
        <v>5.75</v>
      </c>
      <c r="D5" s="12" t="s">
        <v>54</v>
      </c>
      <c r="E5" s="12" t="s">
        <v>55</v>
      </c>
      <c r="F5" s="12" t="s">
        <v>57</v>
      </c>
      <c r="G5" s="12" t="s">
        <v>59</v>
      </c>
      <c r="H5" s="12" t="s">
        <v>60</v>
      </c>
      <c r="I5" s="12" t="s">
        <v>62</v>
      </c>
      <c r="J5" s="17" t="s">
        <v>63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72</v>
      </c>
      <c r="B6" s="20">
        <v>1.85</v>
      </c>
      <c r="C6" s="20">
        <v>1.1</v>
      </c>
      <c r="D6" s="18" t="s">
        <v>74</v>
      </c>
      <c r="E6" s="18" t="s">
        <v>75</v>
      </c>
      <c r="F6" s="18" t="s">
        <v>76</v>
      </c>
      <c r="G6" s="18" t="s">
        <v>77</v>
      </c>
      <c r="H6" s="18" t="s">
        <v>60</v>
      </c>
      <c r="I6" s="18" t="s">
        <v>78</v>
      </c>
      <c r="J6" s="21" t="s">
        <v>63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79</v>
      </c>
      <c r="B7" s="20">
        <v>0.45</v>
      </c>
      <c r="C7" s="20">
        <v>0.3</v>
      </c>
      <c r="D7" s="18" t="s">
        <v>81</v>
      </c>
      <c r="E7" s="18" t="s">
        <v>83</v>
      </c>
      <c r="F7" s="18" t="s">
        <v>84</v>
      </c>
      <c r="G7" s="18" t="s">
        <v>86</v>
      </c>
      <c r="H7" s="18" t="s">
        <v>60</v>
      </c>
      <c r="I7" s="18" t="s">
        <v>87</v>
      </c>
      <c r="J7" s="21" t="s">
        <v>63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3" t="s">
        <v>91</v>
      </c>
      <c r="B8" s="24">
        <v>0.45</v>
      </c>
      <c r="C8" s="24">
        <v>0.35</v>
      </c>
      <c r="D8" s="23" t="s">
        <v>97</v>
      </c>
      <c r="E8" s="23" t="s">
        <v>98</v>
      </c>
      <c r="F8" s="23" t="s">
        <v>99</v>
      </c>
      <c r="G8" s="23" t="s">
        <v>100</v>
      </c>
      <c r="H8" s="23" t="s">
        <v>60</v>
      </c>
      <c r="I8" s="23" t="s">
        <v>87</v>
      </c>
      <c r="J8" s="29" t="s">
        <v>63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113</v>
      </c>
      <c r="B10" s="2"/>
      <c r="C10" s="2"/>
      <c r="D10" s="2"/>
      <c r="E10" s="2"/>
      <c r="F10" s="2"/>
      <c r="G10" s="2"/>
      <c r="H10" s="2"/>
      <c r="I10" s="2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J1"/>
    <mergeCell ref="A2:J2"/>
    <mergeCell ref="A10:J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10</v>
      </c>
      <c r="B4" s="8" t="s">
        <v>15</v>
      </c>
      <c r="C4" s="8" t="s">
        <v>19</v>
      </c>
      <c r="D4" s="8" t="s">
        <v>22</v>
      </c>
      <c r="E4" s="8" t="s">
        <v>25</v>
      </c>
      <c r="F4" s="8" t="s">
        <v>28</v>
      </c>
      <c r="G4" s="8" t="s">
        <v>31</v>
      </c>
      <c r="H4" s="8" t="s">
        <v>34</v>
      </c>
      <c r="I4" s="8" t="s">
        <v>35</v>
      </c>
      <c r="J4" s="10" t="s">
        <v>39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45</v>
      </c>
      <c r="B5" s="12" t="s">
        <v>47</v>
      </c>
      <c r="C5" s="12" t="s">
        <v>48</v>
      </c>
      <c r="D5" s="12" t="s">
        <v>49</v>
      </c>
      <c r="E5" s="13">
        <v>6.0</v>
      </c>
      <c r="F5" s="13">
        <v>5.5</v>
      </c>
      <c r="G5" s="13">
        <f>IF(Summary!$B$4="Full ₹25L",E5,F5)</f>
        <v>6</v>
      </c>
      <c r="H5" s="12" t="s">
        <v>56</v>
      </c>
      <c r="I5" s="12" t="s">
        <v>58</v>
      </c>
      <c r="J5" s="12" t="s">
        <v>61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66</v>
      </c>
      <c r="B6" s="18" t="s">
        <v>68</v>
      </c>
      <c r="C6" s="18" t="s">
        <v>69</v>
      </c>
      <c r="D6" s="18" t="s">
        <v>70</v>
      </c>
      <c r="E6" s="20">
        <v>4.0</v>
      </c>
      <c r="F6" s="20">
        <v>3.25</v>
      </c>
      <c r="G6" s="20">
        <f>IF(Summary!$B$4="Full ₹25L",E6,F6)</f>
        <v>4</v>
      </c>
      <c r="H6" s="18" t="s">
        <v>80</v>
      </c>
      <c r="I6" s="18" t="s">
        <v>82</v>
      </c>
      <c r="J6" s="18" t="s">
        <v>85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88</v>
      </c>
      <c r="B7" s="18" t="s">
        <v>89</v>
      </c>
      <c r="C7" s="18" t="s">
        <v>90</v>
      </c>
      <c r="D7" s="18" t="s">
        <v>92</v>
      </c>
      <c r="E7" s="20">
        <v>3.75</v>
      </c>
      <c r="F7" s="20">
        <v>2.75</v>
      </c>
      <c r="G7" s="20">
        <f>IF(Summary!$B$4="Full ₹25L",E7,F7)</f>
        <v>3.75</v>
      </c>
      <c r="H7" s="18" t="s">
        <v>102</v>
      </c>
      <c r="I7" s="18" t="s">
        <v>82</v>
      </c>
      <c r="J7" s="18" t="s">
        <v>103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104</v>
      </c>
      <c r="B8" s="18" t="s">
        <v>105</v>
      </c>
      <c r="C8" s="18" t="s">
        <v>106</v>
      </c>
      <c r="D8" s="18" t="s">
        <v>107</v>
      </c>
      <c r="E8" s="20">
        <v>3.75</v>
      </c>
      <c r="F8" s="20">
        <v>2.75</v>
      </c>
      <c r="G8" s="20">
        <f>IF(Summary!$B$4="Full ₹25L",E8,F8)</f>
        <v>3.75</v>
      </c>
      <c r="H8" s="18" t="s">
        <v>110</v>
      </c>
      <c r="I8" s="18" t="s">
        <v>111</v>
      </c>
      <c r="J8" s="18" t="s">
        <v>112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115</v>
      </c>
      <c r="B9" s="18" t="s">
        <v>116</v>
      </c>
      <c r="C9" s="18" t="s">
        <v>117</v>
      </c>
      <c r="D9" s="18" t="s">
        <v>118</v>
      </c>
      <c r="E9" s="20">
        <v>3.5</v>
      </c>
      <c r="F9" s="20">
        <v>2.5</v>
      </c>
      <c r="G9" s="20">
        <f>IF(Summary!$B$4="Full ₹25L",E9,F9)</f>
        <v>3.5</v>
      </c>
      <c r="H9" s="18" t="s">
        <v>123</v>
      </c>
      <c r="I9" s="18" t="s">
        <v>124</v>
      </c>
      <c r="J9" s="18" t="s">
        <v>125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3" t="s">
        <v>127</v>
      </c>
      <c r="B10" s="23" t="s">
        <v>128</v>
      </c>
      <c r="C10" s="23" t="s">
        <v>129</v>
      </c>
      <c r="D10" s="23" t="s">
        <v>131</v>
      </c>
      <c r="E10" s="24">
        <v>4.0</v>
      </c>
      <c r="F10" s="24">
        <v>3.25</v>
      </c>
      <c r="G10" s="24">
        <f>IF(Summary!$B$4="Full ₹25L",E10,F10)</f>
        <v>4</v>
      </c>
      <c r="H10" s="23" t="s">
        <v>139</v>
      </c>
      <c r="I10" s="23" t="s">
        <v>111</v>
      </c>
      <c r="J10" s="23" t="s">
        <v>141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7" t="s">
        <v>143</v>
      </c>
      <c r="B11" s="2"/>
      <c r="C11" s="2"/>
      <c r="D11" s="3"/>
      <c r="E11" s="41">
        <f t="shared" ref="E11:G11" si="1">SUM(E5:E10)</f>
        <v>25</v>
      </c>
      <c r="F11" s="41">
        <f t="shared" si="1"/>
        <v>20</v>
      </c>
      <c r="G11" s="41">
        <f t="shared" si="1"/>
        <v>25</v>
      </c>
      <c r="H11" s="43"/>
      <c r="I11" s="43"/>
      <c r="J11" s="4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J1"/>
    <mergeCell ref="A2:J2"/>
    <mergeCell ref="A11:D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254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11</v>
      </c>
      <c r="B4" s="8" t="s">
        <v>20</v>
      </c>
      <c r="C4" s="8" t="s">
        <v>255</v>
      </c>
      <c r="D4" s="8" t="s">
        <v>256</v>
      </c>
      <c r="E4" s="8" t="s">
        <v>257</v>
      </c>
      <c r="F4" s="8" t="s">
        <v>258</v>
      </c>
      <c r="G4" s="10" t="s">
        <v>259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50</v>
      </c>
      <c r="B5" s="13">
        <f>SUMIF('Detailed Budget'!$A$6:$A$34,A5,'Detailed Budget'!$F$6:$F$34)</f>
        <v>8.5</v>
      </c>
      <c r="C5" s="13">
        <f>SUMIF('Detailed Budget'!$A$6:$A$34,A5,'Detailed Budget'!$I$6:$I$34)</f>
        <v>7.5</v>
      </c>
      <c r="D5" s="13">
        <f t="shared" ref="D5:D12" si="1">B5-C5</f>
        <v>1</v>
      </c>
      <c r="E5" s="57">
        <f t="shared" ref="E5:E11" si="2">B5/$B$12</f>
        <v>0.34</v>
      </c>
      <c r="F5" s="57">
        <f t="shared" ref="F5:F11" si="3">C5/$C$12</f>
        <v>0.375</v>
      </c>
      <c r="G5" s="12" t="s">
        <v>260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130</v>
      </c>
      <c r="B6" s="20">
        <f>SUMIF('Detailed Budget'!$A$6:$A$34,A6,'Detailed Budget'!$F$6:$F$34)</f>
        <v>7.25</v>
      </c>
      <c r="C6" s="20">
        <f>SUMIF('Detailed Budget'!$A$6:$A$34,A6,'Detailed Budget'!$I$6:$I$34)</f>
        <v>5.7</v>
      </c>
      <c r="D6" s="20">
        <f t="shared" si="1"/>
        <v>1.55</v>
      </c>
      <c r="E6" s="58">
        <f t="shared" si="2"/>
        <v>0.29</v>
      </c>
      <c r="F6" s="58">
        <f t="shared" si="3"/>
        <v>0.285</v>
      </c>
      <c r="G6" s="18" t="s">
        <v>261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155</v>
      </c>
      <c r="B7" s="20">
        <f>SUMIF('Detailed Budget'!$A$6:$A$34,A7,'Detailed Budget'!$F$6:$F$34)</f>
        <v>2.25</v>
      </c>
      <c r="C7" s="20">
        <f>SUMIF('Detailed Budget'!$A$6:$A$34,A7,'Detailed Budget'!$I$6:$I$34)</f>
        <v>1.5</v>
      </c>
      <c r="D7" s="20">
        <f t="shared" si="1"/>
        <v>0.75</v>
      </c>
      <c r="E7" s="58">
        <f t="shared" si="2"/>
        <v>0.09</v>
      </c>
      <c r="F7" s="58">
        <f t="shared" si="3"/>
        <v>0.075</v>
      </c>
      <c r="G7" s="18" t="s">
        <v>262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185</v>
      </c>
      <c r="B8" s="20">
        <f>SUMIF('Detailed Budget'!$A$6:$A$34,A8,'Detailed Budget'!$F$6:$F$34)</f>
        <v>1.5</v>
      </c>
      <c r="C8" s="20">
        <f>SUMIF('Detailed Budget'!$A$6:$A$34,A8,'Detailed Budget'!$I$6:$I$34)</f>
        <v>1.2</v>
      </c>
      <c r="D8" s="20">
        <f t="shared" si="1"/>
        <v>0.3</v>
      </c>
      <c r="E8" s="58">
        <f t="shared" si="2"/>
        <v>0.06</v>
      </c>
      <c r="F8" s="58">
        <f t="shared" si="3"/>
        <v>0.06</v>
      </c>
      <c r="G8" s="18" t="s">
        <v>263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209</v>
      </c>
      <c r="B9" s="20">
        <f>SUMIF('Detailed Budget'!$A$6:$A$34,A9,'Detailed Budget'!$F$6:$F$34)</f>
        <v>1</v>
      </c>
      <c r="C9" s="20">
        <f>SUMIF('Detailed Budget'!$A$6:$A$34,A9,'Detailed Budget'!$I$6:$I$34)</f>
        <v>0.6</v>
      </c>
      <c r="D9" s="20">
        <f t="shared" si="1"/>
        <v>0.4</v>
      </c>
      <c r="E9" s="58">
        <f t="shared" si="2"/>
        <v>0.04</v>
      </c>
      <c r="F9" s="58">
        <f t="shared" si="3"/>
        <v>0.03</v>
      </c>
      <c r="G9" s="18" t="s">
        <v>264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224</v>
      </c>
      <c r="B10" s="20">
        <f>SUMIF('Detailed Budget'!$A$6:$A$34,A10,'Detailed Budget'!$F$6:$F$34)</f>
        <v>2.5</v>
      </c>
      <c r="C10" s="20">
        <f>SUMIF('Detailed Budget'!$A$6:$A$34,A10,'Detailed Budget'!$I$6:$I$34)</f>
        <v>2</v>
      </c>
      <c r="D10" s="20">
        <f t="shared" si="1"/>
        <v>0.5</v>
      </c>
      <c r="E10" s="58">
        <f t="shared" si="2"/>
        <v>0.1</v>
      </c>
      <c r="F10" s="58">
        <f t="shared" si="3"/>
        <v>0.1</v>
      </c>
      <c r="G10" s="18" t="s">
        <v>265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3" t="s">
        <v>237</v>
      </c>
      <c r="B11" s="24">
        <f>SUMIF('Detailed Budget'!$A$6:$A$34,A11,'Detailed Budget'!$F$6:$F$34)</f>
        <v>2</v>
      </c>
      <c r="C11" s="24">
        <f>SUMIF('Detailed Budget'!$A$6:$A$34,A11,'Detailed Budget'!$I$6:$I$34)</f>
        <v>1.5</v>
      </c>
      <c r="D11" s="24">
        <f t="shared" si="1"/>
        <v>0.5</v>
      </c>
      <c r="E11" s="59">
        <f t="shared" si="2"/>
        <v>0.08</v>
      </c>
      <c r="F11" s="59">
        <f t="shared" si="3"/>
        <v>0.075</v>
      </c>
      <c r="G11" s="23" t="s">
        <v>266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0" t="s">
        <v>143</v>
      </c>
      <c r="B12" s="41">
        <f t="shared" ref="B12:C12" si="4">SUM(B5:B11)</f>
        <v>25</v>
      </c>
      <c r="C12" s="41">
        <f t="shared" si="4"/>
        <v>20</v>
      </c>
      <c r="D12" s="41">
        <f t="shared" si="1"/>
        <v>5</v>
      </c>
      <c r="E12" s="43"/>
      <c r="F12" s="43"/>
      <c r="G12" s="4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G1"/>
    <mergeCell ref="A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267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268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269</v>
      </c>
      <c r="B4" s="8" t="s">
        <v>270</v>
      </c>
      <c r="C4" s="8" t="s">
        <v>271</v>
      </c>
      <c r="D4" s="8" t="s">
        <v>272</v>
      </c>
      <c r="E4" s="8" t="s">
        <v>273</v>
      </c>
      <c r="F4" s="8" t="s">
        <v>274</v>
      </c>
      <c r="G4" s="8" t="s">
        <v>275</v>
      </c>
      <c r="H4" s="8" t="s">
        <v>42</v>
      </c>
      <c r="I4" s="10" t="s">
        <v>276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277</v>
      </c>
      <c r="B5" s="12" t="s">
        <v>278</v>
      </c>
      <c r="C5" s="12" t="s">
        <v>279</v>
      </c>
      <c r="D5" s="12" t="s">
        <v>280</v>
      </c>
      <c r="E5" s="61" t="s">
        <v>281</v>
      </c>
      <c r="F5" s="12" t="s">
        <v>282</v>
      </c>
      <c r="G5" s="12" t="s">
        <v>283</v>
      </c>
      <c r="H5" s="12" t="s">
        <v>284</v>
      </c>
      <c r="I5" s="12" t="s">
        <v>285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286</v>
      </c>
      <c r="B6" s="18" t="s">
        <v>287</v>
      </c>
      <c r="C6" s="18" t="s">
        <v>288</v>
      </c>
      <c r="D6" s="18" t="s">
        <v>289</v>
      </c>
      <c r="E6" s="62" t="s">
        <v>290</v>
      </c>
      <c r="F6" s="18" t="s">
        <v>291</v>
      </c>
      <c r="G6" s="18" t="s">
        <v>292</v>
      </c>
      <c r="H6" s="18" t="s">
        <v>293</v>
      </c>
      <c r="I6" s="18" t="s">
        <v>285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294</v>
      </c>
      <c r="B7" s="18" t="s">
        <v>295</v>
      </c>
      <c r="C7" s="18" t="s">
        <v>296</v>
      </c>
      <c r="D7" s="18" t="s">
        <v>297</v>
      </c>
      <c r="E7" s="63" t="s">
        <v>298</v>
      </c>
      <c r="F7" s="18" t="s">
        <v>299</v>
      </c>
      <c r="G7" s="18" t="s">
        <v>300</v>
      </c>
      <c r="H7" s="18" t="s">
        <v>301</v>
      </c>
      <c r="I7" s="18" t="s">
        <v>285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302</v>
      </c>
      <c r="B8" s="18" t="s">
        <v>303</v>
      </c>
      <c r="C8" s="18" t="s">
        <v>304</v>
      </c>
      <c r="D8" s="18" t="s">
        <v>305</v>
      </c>
      <c r="E8" s="63" t="s">
        <v>298</v>
      </c>
      <c r="F8" s="18" t="s">
        <v>306</v>
      </c>
      <c r="G8" s="18" t="s">
        <v>307</v>
      </c>
      <c r="H8" s="18" t="s">
        <v>308</v>
      </c>
      <c r="I8" s="18" t="s">
        <v>285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309</v>
      </c>
      <c r="B9" s="18" t="s">
        <v>310</v>
      </c>
      <c r="C9" s="18" t="s">
        <v>311</v>
      </c>
      <c r="D9" s="18" t="s">
        <v>312</v>
      </c>
      <c r="E9" s="64" t="s">
        <v>313</v>
      </c>
      <c r="F9" s="18" t="s">
        <v>314</v>
      </c>
      <c r="G9" s="18" t="s">
        <v>315</v>
      </c>
      <c r="H9" s="18" t="s">
        <v>316</v>
      </c>
      <c r="I9" s="18" t="s">
        <v>285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317</v>
      </c>
      <c r="B10" s="18" t="s">
        <v>318</v>
      </c>
      <c r="C10" s="18" t="s">
        <v>319</v>
      </c>
      <c r="D10" s="18" t="s">
        <v>320</v>
      </c>
      <c r="E10" s="62" t="s">
        <v>321</v>
      </c>
      <c r="F10" s="18" t="s">
        <v>322</v>
      </c>
      <c r="G10" s="18" t="s">
        <v>323</v>
      </c>
      <c r="H10" s="18" t="s">
        <v>324</v>
      </c>
      <c r="I10" s="18" t="s">
        <v>285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3" t="s">
        <v>325</v>
      </c>
      <c r="B11" s="23" t="s">
        <v>326</v>
      </c>
      <c r="C11" s="23" t="s">
        <v>327</v>
      </c>
      <c r="D11" s="23" t="s">
        <v>328</v>
      </c>
      <c r="E11" s="65" t="s">
        <v>329</v>
      </c>
      <c r="F11" s="23" t="s">
        <v>330</v>
      </c>
      <c r="G11" s="23" t="s">
        <v>331</v>
      </c>
      <c r="H11" s="23" t="s">
        <v>332</v>
      </c>
      <c r="I11" s="23" t="s">
        <v>285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334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335</v>
      </c>
      <c r="B4" s="8" t="s">
        <v>336</v>
      </c>
      <c r="C4" s="8" t="s">
        <v>13</v>
      </c>
      <c r="D4" s="8" t="s">
        <v>29</v>
      </c>
      <c r="E4" s="8" t="s">
        <v>35</v>
      </c>
      <c r="F4" s="10" t="s">
        <v>33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8</v>
      </c>
      <c r="B5" s="66" t="str">
        <f>Summary!B4</f>
        <v>Full ₹25L</v>
      </c>
      <c r="C5" s="12" t="s">
        <v>337</v>
      </c>
      <c r="D5" s="12" t="s">
        <v>338</v>
      </c>
      <c r="E5" s="12" t="s">
        <v>339</v>
      </c>
      <c r="F5" s="12" t="s">
        <v>340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341</v>
      </c>
      <c r="B6" s="67">
        <v>20.0</v>
      </c>
      <c r="C6" s="18" t="s">
        <v>342</v>
      </c>
      <c r="D6" s="18" t="s">
        <v>343</v>
      </c>
      <c r="E6" s="18" t="s">
        <v>344</v>
      </c>
      <c r="F6" s="18" t="s">
        <v>345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346</v>
      </c>
      <c r="B7" s="67">
        <v>6.0</v>
      </c>
      <c r="C7" s="18" t="s">
        <v>347</v>
      </c>
      <c r="D7" s="18" t="s">
        <v>348</v>
      </c>
      <c r="E7" s="18" t="s">
        <v>243</v>
      </c>
      <c r="F7" s="18" t="s">
        <v>349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350</v>
      </c>
      <c r="B8" s="68">
        <v>0.1</v>
      </c>
      <c r="C8" s="18" t="s">
        <v>351</v>
      </c>
      <c r="D8" s="18" t="s">
        <v>352</v>
      </c>
      <c r="E8" s="18" t="s">
        <v>353</v>
      </c>
      <c r="F8" s="18" t="s">
        <v>354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355</v>
      </c>
      <c r="B9" s="67">
        <v>96.0</v>
      </c>
      <c r="C9" s="18" t="s">
        <v>356</v>
      </c>
      <c r="D9" s="18" t="s">
        <v>357</v>
      </c>
      <c r="E9" s="18" t="s">
        <v>358</v>
      </c>
      <c r="F9" s="18" t="s">
        <v>359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360</v>
      </c>
      <c r="B10" s="67">
        <v>4699.0</v>
      </c>
      <c r="C10" s="18" t="s">
        <v>361</v>
      </c>
      <c r="D10" s="18" t="s">
        <v>362</v>
      </c>
      <c r="E10" s="18" t="s">
        <v>363</v>
      </c>
      <c r="F10" s="18" t="s">
        <v>364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365</v>
      </c>
      <c r="B11" s="68">
        <v>0.18</v>
      </c>
      <c r="C11" s="18" t="s">
        <v>366</v>
      </c>
      <c r="D11" s="18" t="s">
        <v>367</v>
      </c>
      <c r="E11" s="18" t="s">
        <v>358</v>
      </c>
      <c r="F11" s="18" t="s">
        <v>368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369</v>
      </c>
      <c r="B12" s="68">
        <v>0.08</v>
      </c>
      <c r="C12" s="18" t="s">
        <v>366</v>
      </c>
      <c r="D12" s="18" t="s">
        <v>370</v>
      </c>
      <c r="E12" s="18" t="s">
        <v>358</v>
      </c>
      <c r="F12" s="18" t="s">
        <v>371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372</v>
      </c>
      <c r="B13" s="67">
        <v>250.0</v>
      </c>
      <c r="C13" s="18" t="s">
        <v>373</v>
      </c>
      <c r="D13" s="18" t="s">
        <v>374</v>
      </c>
      <c r="E13" s="18" t="s">
        <v>353</v>
      </c>
      <c r="F13" s="18" t="s">
        <v>375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376</v>
      </c>
      <c r="B14" s="67">
        <v>50.0</v>
      </c>
      <c r="C14" s="18" t="s">
        <v>373</v>
      </c>
      <c r="D14" s="18" t="s">
        <v>374</v>
      </c>
      <c r="E14" s="18" t="s">
        <v>353</v>
      </c>
      <c r="F14" s="18" t="s">
        <v>377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378</v>
      </c>
      <c r="B15" s="67">
        <v>499.0</v>
      </c>
      <c r="C15" s="18" t="s">
        <v>379</v>
      </c>
      <c r="D15" s="18" t="s">
        <v>380</v>
      </c>
      <c r="E15" s="18" t="s">
        <v>381</v>
      </c>
      <c r="F15" s="18" t="s">
        <v>382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383</v>
      </c>
      <c r="B16" s="67">
        <v>50.0</v>
      </c>
      <c r="C16" s="18" t="s">
        <v>373</v>
      </c>
      <c r="D16" s="18" t="s">
        <v>384</v>
      </c>
      <c r="E16" s="18" t="s">
        <v>381</v>
      </c>
      <c r="F16" s="18" t="s">
        <v>385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386</v>
      </c>
      <c r="B17" s="67">
        <v>12.0</v>
      </c>
      <c r="C17" s="18" t="s">
        <v>387</v>
      </c>
      <c r="D17" s="18" t="s">
        <v>384</v>
      </c>
      <c r="E17" s="18" t="s">
        <v>381</v>
      </c>
      <c r="F17" s="18" t="s">
        <v>385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388</v>
      </c>
      <c r="B18" s="67">
        <v>8.0</v>
      </c>
      <c r="C18" s="18" t="s">
        <v>387</v>
      </c>
      <c r="D18" s="18" t="s">
        <v>384</v>
      </c>
      <c r="E18" s="18" t="s">
        <v>381</v>
      </c>
      <c r="F18" s="18" t="s">
        <v>385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389</v>
      </c>
      <c r="B19" s="69" t="s">
        <v>390</v>
      </c>
      <c r="C19" s="18" t="s">
        <v>391</v>
      </c>
      <c r="D19" s="18" t="s">
        <v>392</v>
      </c>
      <c r="E19" s="18" t="s">
        <v>363</v>
      </c>
      <c r="F19" s="18" t="s">
        <v>393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3" t="s">
        <v>394</v>
      </c>
      <c r="B20" s="70" t="s">
        <v>395</v>
      </c>
      <c r="C20" s="23" t="s">
        <v>396</v>
      </c>
      <c r="D20" s="23" t="s">
        <v>397</v>
      </c>
      <c r="E20" s="23" t="s">
        <v>398</v>
      </c>
      <c r="F20" s="23" t="s">
        <v>399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2:F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401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402</v>
      </c>
      <c r="B4" s="8" t="s">
        <v>403</v>
      </c>
      <c r="C4" s="8" t="s">
        <v>404</v>
      </c>
      <c r="D4" s="8" t="s">
        <v>405</v>
      </c>
      <c r="E4" s="8" t="s">
        <v>406</v>
      </c>
      <c r="F4" s="10" t="s">
        <v>33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407</v>
      </c>
      <c r="B5" s="13">
        <f>'Scenario Compare'!B12-25</f>
        <v>0</v>
      </c>
      <c r="C5" s="71">
        <v>1.0E-4</v>
      </c>
      <c r="D5" s="61" t="str">
        <f t="shared" ref="D5:D12" si="1">IF(ABS(B5)&lt;=C5,"PASS","FAIL")</f>
        <v>PASS</v>
      </c>
      <c r="E5" s="12" t="s">
        <v>408</v>
      </c>
      <c r="F5" s="12" t="s">
        <v>409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410</v>
      </c>
      <c r="B6" s="20">
        <f>'Scenario Compare'!C12-20</f>
        <v>0</v>
      </c>
      <c r="C6" s="72">
        <v>1.0E-4</v>
      </c>
      <c r="D6" s="62" t="str">
        <f t="shared" si="1"/>
        <v>PASS</v>
      </c>
      <c r="E6" s="18" t="s">
        <v>408</v>
      </c>
      <c r="F6" s="18" t="s">
        <v>411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412</v>
      </c>
      <c r="B7" s="58">
        <f>'Scenario Compare'!E10-Assumptions!B8</f>
        <v>0</v>
      </c>
      <c r="C7" s="72">
        <v>1.0E-4</v>
      </c>
      <c r="D7" s="62" t="str">
        <f t="shared" si="1"/>
        <v>PASS</v>
      </c>
      <c r="E7" s="18" t="s">
        <v>408</v>
      </c>
      <c r="F7" s="18" t="s">
        <v>413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414</v>
      </c>
      <c r="B8" s="58">
        <f>'Scenario Compare'!F10-Assumptions!B8</f>
        <v>0</v>
      </c>
      <c r="C8" s="72">
        <v>1.0E-4</v>
      </c>
      <c r="D8" s="62" t="str">
        <f t="shared" si="1"/>
        <v>PASS</v>
      </c>
      <c r="E8" s="18" t="s">
        <v>408</v>
      </c>
      <c r="F8" s="18" t="s">
        <v>413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415</v>
      </c>
      <c r="B9" s="20">
        <f>Milestones!E11-25</f>
        <v>0</v>
      </c>
      <c r="C9" s="72">
        <v>1.0E-4</v>
      </c>
      <c r="D9" s="62" t="str">
        <f t="shared" si="1"/>
        <v>PASS</v>
      </c>
      <c r="E9" s="18" t="s">
        <v>416</v>
      </c>
      <c r="F9" s="18" t="s">
        <v>417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418</v>
      </c>
      <c r="B10" s="20">
        <f>Milestones!F11-20</f>
        <v>0</v>
      </c>
      <c r="C10" s="72">
        <v>1.0E-4</v>
      </c>
      <c r="D10" s="62" t="str">
        <f t="shared" si="1"/>
        <v>PASS</v>
      </c>
      <c r="E10" s="18" t="s">
        <v>416</v>
      </c>
      <c r="F10" s="18" t="s">
        <v>417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419</v>
      </c>
      <c r="B11" s="73">
        <f>MAX(Summary!C8-Summary!A8,0)</f>
        <v>0</v>
      </c>
      <c r="C11" s="72">
        <v>1.0E-4</v>
      </c>
      <c r="D11" s="62" t="str">
        <f t="shared" si="1"/>
        <v>PASS</v>
      </c>
      <c r="E11" s="18" t="s">
        <v>420</v>
      </c>
      <c r="F11" s="18" t="s">
        <v>421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3" t="s">
        <v>422</v>
      </c>
      <c r="B12" s="74">
        <f>COUNTIF('Detailed Budget'!$F$6:$F$34,"&lt;0")+COUNTIF('Detailed Budget'!$I$6:$I$34,"&lt;0")</f>
        <v>0</v>
      </c>
      <c r="C12" s="74">
        <v>0.0</v>
      </c>
      <c r="D12" s="75" t="str">
        <f t="shared" si="1"/>
        <v>PASS</v>
      </c>
      <c r="E12" s="23" t="s">
        <v>408</v>
      </c>
      <c r="F12" s="23" t="s">
        <v>423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6" t="s">
        <v>424</v>
      </c>
      <c r="B14" s="77" t="str">
        <f>IF(COUNTIF(D5:D12,"FAIL")=0,"PASS","FAIL")</f>
        <v>PASS</v>
      </c>
      <c r="C14" s="7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79"/>
      <c r="C15" s="8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1"/>
    <mergeCell ref="A2:F2"/>
    <mergeCell ref="B14:C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425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426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427</v>
      </c>
      <c r="B4" s="8" t="s">
        <v>12</v>
      </c>
      <c r="C4" s="8" t="s">
        <v>428</v>
      </c>
      <c r="D4" s="8" t="s">
        <v>13</v>
      </c>
      <c r="E4" s="8" t="s">
        <v>276</v>
      </c>
      <c r="F4" s="8" t="s">
        <v>429</v>
      </c>
      <c r="G4" s="8" t="s">
        <v>430</v>
      </c>
      <c r="H4" s="8" t="s">
        <v>431</v>
      </c>
      <c r="I4" s="10" t="s">
        <v>33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432</v>
      </c>
      <c r="B5" s="12" t="s">
        <v>433</v>
      </c>
      <c r="C5" s="12" t="s">
        <v>434</v>
      </c>
      <c r="D5" s="12" t="s">
        <v>435</v>
      </c>
      <c r="E5" s="12" t="s">
        <v>285</v>
      </c>
      <c r="F5" s="12" t="s">
        <v>436</v>
      </c>
      <c r="G5" s="12" t="s">
        <v>62</v>
      </c>
      <c r="H5" s="12" t="s">
        <v>437</v>
      </c>
      <c r="I5" s="12" t="s">
        <v>438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439</v>
      </c>
      <c r="B6" s="18" t="s">
        <v>440</v>
      </c>
      <c r="C6" s="72">
        <v>4699.0</v>
      </c>
      <c r="D6" s="18" t="s">
        <v>361</v>
      </c>
      <c r="E6" s="18" t="s">
        <v>285</v>
      </c>
      <c r="F6" s="18" t="s">
        <v>441</v>
      </c>
      <c r="G6" s="18" t="s">
        <v>442</v>
      </c>
      <c r="H6" s="18" t="s">
        <v>443</v>
      </c>
      <c r="I6" s="18" t="s">
        <v>444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445</v>
      </c>
      <c r="B7" s="18" t="s">
        <v>446</v>
      </c>
      <c r="C7" s="72">
        <v>96.0</v>
      </c>
      <c r="D7" s="18" t="s">
        <v>356</v>
      </c>
      <c r="E7" s="18" t="s">
        <v>285</v>
      </c>
      <c r="F7" s="18" t="s">
        <v>447</v>
      </c>
      <c r="G7" s="18" t="s">
        <v>448</v>
      </c>
      <c r="H7" s="18" t="s">
        <v>443</v>
      </c>
      <c r="I7" s="18" t="s">
        <v>449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1" t="s">
        <v>450</v>
      </c>
      <c r="B8" s="81" t="s">
        <v>451</v>
      </c>
      <c r="C8" s="73">
        <v>20.0</v>
      </c>
      <c r="D8" s="81" t="s">
        <v>342</v>
      </c>
      <c r="E8" s="81" t="s">
        <v>285</v>
      </c>
      <c r="F8" s="81" t="s">
        <v>452</v>
      </c>
      <c r="G8" s="82" t="s">
        <v>284</v>
      </c>
      <c r="H8" s="82" t="s">
        <v>453</v>
      </c>
      <c r="I8" s="83" t="s">
        <v>454</v>
      </c>
      <c r="J8" s="84"/>
      <c r="K8" s="85"/>
      <c r="L8" s="8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1" t="s">
        <v>455</v>
      </c>
      <c r="B9" s="81" t="s">
        <v>456</v>
      </c>
      <c r="C9" s="73">
        <v>30.0</v>
      </c>
      <c r="D9" s="81" t="s">
        <v>342</v>
      </c>
      <c r="E9" s="81" t="s">
        <v>285</v>
      </c>
      <c r="F9" s="81" t="s">
        <v>457</v>
      </c>
      <c r="G9" s="82" t="s">
        <v>293</v>
      </c>
      <c r="H9" s="82" t="s">
        <v>453</v>
      </c>
      <c r="I9" s="83" t="s">
        <v>458</v>
      </c>
      <c r="J9" s="84"/>
      <c r="K9" s="85"/>
      <c r="L9" s="8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459</v>
      </c>
      <c r="B10" s="18" t="s">
        <v>460</v>
      </c>
      <c r="C10" s="18" t="s">
        <v>461</v>
      </c>
      <c r="D10" s="18" t="s">
        <v>342</v>
      </c>
      <c r="E10" s="18" t="s">
        <v>285</v>
      </c>
      <c r="F10" s="18" t="s">
        <v>462</v>
      </c>
      <c r="G10" s="18" t="s">
        <v>301</v>
      </c>
      <c r="H10" s="18" t="s">
        <v>453</v>
      </c>
      <c r="I10" s="18" t="s">
        <v>463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464</v>
      </c>
      <c r="B11" s="18" t="s">
        <v>465</v>
      </c>
      <c r="C11" s="18" t="s">
        <v>466</v>
      </c>
      <c r="D11" s="18" t="s">
        <v>342</v>
      </c>
      <c r="E11" s="18" t="s">
        <v>285</v>
      </c>
      <c r="F11" s="18" t="s">
        <v>467</v>
      </c>
      <c r="G11" s="18" t="s">
        <v>308</v>
      </c>
      <c r="H11" s="18" t="s">
        <v>453</v>
      </c>
      <c r="I11" s="18" t="s">
        <v>319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468</v>
      </c>
      <c r="B12" s="18" t="s">
        <v>469</v>
      </c>
      <c r="C12" s="18" t="s">
        <v>470</v>
      </c>
      <c r="D12" s="18" t="s">
        <v>471</v>
      </c>
      <c r="E12" s="18" t="s">
        <v>285</v>
      </c>
      <c r="F12" s="18" t="s">
        <v>472</v>
      </c>
      <c r="G12" s="18" t="s">
        <v>316</v>
      </c>
      <c r="H12" s="18" t="s">
        <v>453</v>
      </c>
      <c r="I12" s="18" t="s">
        <v>473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474</v>
      </c>
      <c r="B13" s="18" t="s">
        <v>475</v>
      </c>
      <c r="C13" s="18" t="s">
        <v>476</v>
      </c>
      <c r="D13" s="18" t="s">
        <v>477</v>
      </c>
      <c r="E13" s="18" t="s">
        <v>478</v>
      </c>
      <c r="F13" s="18" t="s">
        <v>479</v>
      </c>
      <c r="G13" s="18" t="s">
        <v>480</v>
      </c>
      <c r="H13" s="18" t="s">
        <v>481</v>
      </c>
      <c r="I13" s="18" t="s">
        <v>482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483</v>
      </c>
      <c r="B14" s="18" t="s">
        <v>484</v>
      </c>
      <c r="C14" s="18" t="s">
        <v>485</v>
      </c>
      <c r="D14" s="18" t="s">
        <v>486</v>
      </c>
      <c r="E14" s="18" t="s">
        <v>285</v>
      </c>
      <c r="F14" s="18" t="s">
        <v>487</v>
      </c>
      <c r="G14" s="18" t="s">
        <v>488</v>
      </c>
      <c r="H14" s="18" t="s">
        <v>453</v>
      </c>
      <c r="I14" s="18" t="s">
        <v>489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3" t="s">
        <v>490</v>
      </c>
      <c r="B15" s="23" t="s">
        <v>491</v>
      </c>
      <c r="C15" s="23" t="s">
        <v>485</v>
      </c>
      <c r="D15" s="23" t="s">
        <v>486</v>
      </c>
      <c r="E15" s="23" t="s">
        <v>285</v>
      </c>
      <c r="F15" s="23" t="s">
        <v>487</v>
      </c>
      <c r="G15" s="23" t="s">
        <v>492</v>
      </c>
      <c r="H15" s="23" t="s">
        <v>453</v>
      </c>
      <c r="I15" s="23" t="s">
        <v>489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8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8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8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8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8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8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8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dataValidations>
    <dataValidation type="list" allowBlank="1" sqref="B4">
      <formula1>"Full ₹25L,Lean ₹20L"</formula1>
    </dataValidation>
  </dataValidations>
  <drawing r:id="rId1"/>
</worksheet>
</file>