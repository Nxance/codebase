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Budgeting" sheetId="2" r:id="rId6"/>
    <sheet state="visible" name="Hiring Plan" sheetId="3" r:id="rId7"/>
    <sheet state="visible" name="Assumptions" sheetId="4" r:id="rId8"/>
    <sheet state="visible" name="Monthly Burn" sheetId="5" r:id="rId9"/>
    <sheet state="visible" name="Use of Fund" sheetId="6" r:id="rId10"/>
    <sheet state="visible" name="Milestone and Regulatory" sheetId="7" r:id="rId11"/>
    <sheet state="visible" name="Funding Tranches" sheetId="8" r:id="rId12"/>
    <sheet state="visible" name="valuation" sheetId="9" r:id="rId13"/>
    <sheet state="visible" name="Business model" sheetId="10" r:id="rId14"/>
    <sheet state="visible" name="Exit Plan" sheetId="11" r:id="rId15"/>
    <sheet state="visible" name="Sources" sheetId="12" r:id="rId16"/>
    <sheet state="visible" name="Returns &amp; Refunds" sheetId="13" r:id="rId17"/>
  </sheets>
  <definedNames/>
  <calcPr/>
</workbook>
</file>

<file path=xl/sharedStrings.xml><?xml version="1.0" encoding="utf-8"?>
<sst xmlns="http://schemas.openxmlformats.org/spreadsheetml/2006/main" count="944" uniqueCount="669">
  <si>
    <t>Nxance — AI-Powered Investment Intelligence Platform | Investor Financial Summary</t>
  </si>
  <si>
    <t>Nxance — 18-Month Management Budget</t>
  </si>
  <si>
    <t>Nxance — 18-Month Team &amp; Hiring Cost Plan</t>
  </si>
  <si>
    <t>Category</t>
  </si>
  <si>
    <t>Recommended Ask</t>
  </si>
  <si>
    <t>Line Item</t>
  </si>
  <si>
    <t>Amount (₹ lakh / month or one-time)</t>
  </si>
  <si>
    <t>Milestone Trigger</t>
  </si>
  <si>
    <t>Start Mo.</t>
  </si>
  <si>
    <t>Type</t>
  </si>
  <si>
    <t>Runway</t>
  </si>
  <si>
    <t>Growth / Ramp Input</t>
  </si>
  <si>
    <t>Exit Headcount Capacity</t>
  </si>
  <si>
    <t>Exit Monthly Payroll / Team Cost</t>
  </si>
  <si>
    <t>Exit Monthly Cash Use</t>
  </si>
  <si>
    <t>Role / Cost Pool</t>
  </si>
  <si>
    <t>Line Total (₹ lakh)</t>
  </si>
  <si>
    <t>Section Total (₹ lakh)</t>
  </si>
  <si>
    <t>Function</t>
  </si>
  <si>
    <t>Monthly Cost (₹ lakh)</t>
  </si>
  <si>
    <t>Annualized Cost (₹ lakh)</t>
  </si>
  <si>
    <t>Start Month</t>
  </si>
  <si>
    <t>Active Months</t>
  </si>
  <si>
    <t>18M Cost (₹ lakh)</t>
  </si>
  <si>
    <t>Budget Source</t>
  </si>
  <si>
    <t>Hiring / Activation Logic</t>
  </si>
  <si>
    <t>FOUNDER</t>
  </si>
  <si>
    <t>Abhishek</t>
  </si>
  <si>
    <t>Leadership</t>
  </si>
  <si>
    <t>Nxance — Core Model Assumptions &amp; Controls</t>
  </si>
  <si>
    <t>Budgeting row 5</t>
  </si>
  <si>
    <t>Day 1 — company formation</t>
  </si>
  <si>
    <t>Bhaskar</t>
  </si>
  <si>
    <t>Budgeting row 6</t>
  </si>
  <si>
    <t>Deepesh</t>
  </si>
  <si>
    <t>Budgeting row 7</t>
  </si>
  <si>
    <t>Recurring</t>
  </si>
  <si>
    <t>Raghav</t>
  </si>
  <si>
    <t>Budgeting row 8</t>
  </si>
  <si>
    <t>Assumption</t>
  </si>
  <si>
    <t>QA/Test Engineer</t>
  </si>
  <si>
    <t>Technology</t>
  </si>
  <si>
    <t>Base Input</t>
  </si>
  <si>
    <t>Budgeting row 17</t>
  </si>
  <si>
    <t>MBP feature-complete, entering test phase</t>
  </si>
  <si>
    <t>Unit</t>
  </si>
  <si>
    <t>Purpose / Rationale</t>
  </si>
  <si>
    <t>Source / Benchmark</t>
  </si>
  <si>
    <t>Editable?</t>
  </si>
  <si>
    <t>Quant Analyst — Health Check engine</t>
  </si>
  <si>
    <t>Quant / Research</t>
  </si>
  <si>
    <t>Budgeting row 18</t>
  </si>
  <si>
    <t>Beta phase begins (post-MBP validation)</t>
  </si>
  <si>
    <t>months</t>
  </si>
  <si>
    <t>Investor budget horizon</t>
  </si>
  <si>
    <t>Management model</t>
  </si>
  <si>
    <t>Yes</t>
  </si>
  <si>
    <t>Quant Analyst — Construction engine</t>
  </si>
  <si>
    <t>Budgeting row 19</t>
  </si>
  <si>
    <t>Contingency</t>
  </si>
  <si>
    <t>% of operating burn</t>
  </si>
  <si>
    <t>Applied to operating burn; refundable reserve excluded</t>
  </si>
  <si>
    <t>Backend Engineer 1</t>
  </si>
  <si>
    <t>Model policy</t>
  </si>
  <si>
    <t>Budgeting row 23</t>
  </si>
  <si>
    <t>MBP build starts</t>
  </si>
  <si>
    <t>Revenue offset in funding ask</t>
  </si>
  <si>
    <t>%</t>
  </si>
  <si>
    <t>18M Operating Burn</t>
  </si>
  <si>
    <t>Backend Engineer 2</t>
  </si>
  <si>
    <t>Funding ask is gross cash requirement; revenue shown separately</t>
  </si>
  <si>
    <t>Conservative funding policy</t>
  </si>
  <si>
    <t>Budgeting row 24</t>
  </si>
  <si>
    <t>Gross 18M Subscription Revenue</t>
  </si>
  <si>
    <t>Beta phase — scaling build capacity</t>
  </si>
  <si>
    <t>Revenue Coverage of Operating Burn</t>
  </si>
  <si>
    <t>Planning Pre-Money</t>
  </si>
  <si>
    <t>Exit headcount capacity</t>
  </si>
  <si>
    <t>Frontend Engineer</t>
  </si>
  <si>
    <t>people</t>
  </si>
  <si>
    <t>Capacity assumption used for email / operating setup</t>
  </si>
  <si>
    <t>Budgeting — Organization input</t>
  </si>
  <si>
    <t>Budgeting row 25</t>
  </si>
  <si>
    <t>RIA refundable deposit</t>
  </si>
  <si>
    <t>ML Engineer</t>
  </si>
  <si>
    <t>AI/ML</t>
  </si>
  <si>
    <t>₹ lakh</t>
  </si>
  <si>
    <t>Tracked as restricted/refundable cash, not ordinary operating burn</t>
  </si>
  <si>
    <t>Budgeting / regulatory reserve</t>
  </si>
  <si>
    <t>Budgeting row 26</t>
  </si>
  <si>
    <t>Phase 1 roadmap — scenario sandbox work begins</t>
  </si>
  <si>
    <t>AI Engineer</t>
  </si>
  <si>
    <t>Operating location</t>
  </si>
  <si>
    <t>Bengaluru</t>
  </si>
  <si>
    <t>Budgeting row 27</t>
  </si>
  <si>
    <t>city</t>
  </si>
  <si>
    <t>Phase 1 roadmap — NxanceLM build-out</t>
  </si>
  <si>
    <t>Primary office cost base in current budget</t>
  </si>
  <si>
    <t>Budget currency</t>
  </si>
  <si>
    <t>Cybersecurity Engineer &amp; DevOps</t>
  </si>
  <si>
    <t>unit</t>
  </si>
  <si>
    <t>Security / Technology</t>
  </si>
  <si>
    <t>All detailed monthly budget numbers use ₹ lakh</t>
  </si>
  <si>
    <t>Model convention</t>
  </si>
  <si>
    <t>No</t>
  </si>
  <si>
    <t>Budgeting row 28</t>
  </si>
  <si>
    <t>Ahead of AI compute build-out / RIA-grade data security</t>
  </si>
  <si>
    <t>Founder cash compensation</t>
  </si>
  <si>
    <t>1.25 / 1.25 / 1.25 / 1.50</t>
  </si>
  <si>
    <t>₹ lakh/month</t>
  </si>
  <si>
    <t>Four founder monthly cash draws per current input</t>
  </si>
  <si>
    <t>Budgeting — Founder section</t>
  </si>
  <si>
    <t>Tech Research</t>
  </si>
  <si>
    <t>Technology / Research</t>
  </si>
  <si>
    <t>Monthly schedule source of truth</t>
  </si>
  <si>
    <t>Budgeting H:Y</t>
  </si>
  <si>
    <t>18-month schedule</t>
  </si>
  <si>
    <t>Budgeting row 30</t>
  </si>
  <si>
    <t>Custom ramps (e.g. marketing/compute) preserved as management inputs</t>
  </si>
  <si>
    <t>Current workbook</t>
  </si>
  <si>
    <t>Beta phase</t>
  </si>
  <si>
    <t>Trader — quant / technical / fundamental</t>
  </si>
  <si>
    <t>Investment &amp; Research</t>
  </si>
  <si>
    <t>Budgeting row 35</t>
  </si>
  <si>
    <t>Post-RIA registration, execution-adjacent features approach</t>
  </si>
  <si>
    <t>Funding Thesis</t>
  </si>
  <si>
    <t>Investor Decision Gates</t>
  </si>
  <si>
    <t>Portfolio Management</t>
  </si>
  <si>
    <t>INSURANCE</t>
  </si>
  <si>
    <t>Valuation &amp; Exit Planning Assumptions</t>
  </si>
  <si>
    <t>Budgeting row 36</t>
  </si>
  <si>
    <t>The current management budget is materially larger than the earlier base case because it now carries four founder draws, a broad in-house technology and investment-research stack, a rising marketing budget, Bengaluru operating costs and a regulated-fintech compliance path. The investor ask is therefore shown as gross execution capital, with subscription revenue kept as upside rather than used to reduce runway.</t>
  </si>
  <si>
    <t>Phase 1 — first paying users need ongoing oversight</t>
  </si>
  <si>
    <t>D&amp;O (Directors &amp; Officers)</t>
  </si>
  <si>
    <t>Gate</t>
  </si>
  <si>
    <t>Entity registered + funding closed</t>
  </si>
  <si>
    <t>Research / Analysis</t>
  </si>
  <si>
    <t>Budgeting row 37</t>
  </si>
  <si>
    <t>Timing</t>
  </si>
  <si>
    <t>Evidence Required</t>
  </si>
  <si>
    <t>Capital Decision</t>
  </si>
  <si>
    <t>Linked tranche</t>
  </si>
  <si>
    <t>Risk Analyst</t>
  </si>
  <si>
    <t>Target round dilution</t>
  </si>
  <si>
    <t>Amount released</t>
  </si>
  <si>
    <t>Planning case for round economics; not a valuation opinion</t>
  </si>
  <si>
    <t>Model planning input</t>
  </si>
  <si>
    <t>Budgeting row 38</t>
  </si>
  <si>
    <t>MBP / Alpha</t>
  </si>
  <si>
    <t>M1–3</t>
  </si>
  <si>
    <t>Working portfolio analysis + user validation</t>
  </si>
  <si>
    <t>Private Market Analyst</t>
  </si>
  <si>
    <t>Continue core product build</t>
  </si>
  <si>
    <t>Tranche 1</t>
  </si>
  <si>
    <t>Budgeting row 39</t>
  </si>
  <si>
    <t>Phase 1 roadmap expansion</t>
  </si>
  <si>
    <t>Future dilution after current round</t>
  </si>
  <si>
    <t>Illustrative Series A/B + ESOP dilution</t>
  </si>
  <si>
    <t>Prior Nxance integrated model</t>
  </si>
  <si>
    <t>Global Market</t>
  </si>
  <si>
    <t>Target investor MOIC</t>
  </si>
  <si>
    <t>Budgeting row 41</t>
  </si>
  <si>
    <t>x</t>
  </si>
  <si>
    <t>RIA registration complete</t>
  </si>
  <si>
    <t>Return hurdle used only for exit requirement sensitivity</t>
  </si>
  <si>
    <t>Direct Equity Research</t>
  </si>
  <si>
    <t>Regulatory / Security</t>
  </si>
  <si>
    <t>M4–6</t>
  </si>
  <si>
    <t>Exit horizon</t>
  </si>
  <si>
    <t>Regulatory route, controls, VAPT and data plan</t>
  </si>
  <si>
    <t>Budgeting row 42</t>
  </si>
  <si>
    <t>Advance regulated beta budget</t>
  </si>
  <si>
    <t>years</t>
  </si>
  <si>
    <t>Phase 1 — first paying users</t>
  </si>
  <si>
    <t>Tranche 2</t>
  </si>
  <si>
    <t>Used for IRR sensitivity</t>
  </si>
  <si>
    <t>Cyber liability</t>
  </si>
  <si>
    <t>Commodity</t>
  </si>
  <si>
    <t>Illustrative target exit value</t>
  </si>
  <si>
    <t>₹ crore</t>
  </si>
  <si>
    <t>Scenario anchor, not forecast</t>
  </si>
  <si>
    <t>Budgeting row 44</t>
  </si>
  <si>
    <t>Current management budget</t>
  </si>
  <si>
    <t>Paid Beta</t>
  </si>
  <si>
    <t>M7–9</t>
  </si>
  <si>
    <t>Paid conversion, repeat use and support data</t>
  </si>
  <si>
    <t>Release public-launch spend</t>
  </si>
  <si>
    <t>Tranche 3</t>
  </si>
  <si>
    <t>Prior base-case Year-5 revenue</t>
  </si>
  <si>
    <t>Compliance Officer</t>
  </si>
  <si>
    <t>Reference operating case retained for valuation cross-check</t>
  </si>
  <si>
    <t>Compliance</t>
  </si>
  <si>
    <t>Budgeting row 45</t>
  </si>
  <si>
    <t>Year-5 revenue exit multiple</t>
  </si>
  <si>
    <t>Cross-check only; separate from funding need</t>
  </si>
  <si>
    <t>Public V1 / Scale</t>
  </si>
  <si>
    <t>M10–18</t>
  </si>
  <si>
    <t>Recurring revenue, institutional pilots and security maturity</t>
  </si>
  <si>
    <t>Prepare next financing / strategic path</t>
  </si>
  <si>
    <t>Ground / Call Team</t>
  </si>
  <si>
    <t>Sales</t>
  </si>
  <si>
    <t>Budgeting row 53</t>
  </si>
  <si>
    <t>Beta phase — first paying users</t>
  </si>
  <si>
    <t>Model Control Notes</t>
  </si>
  <si>
    <t>Key Model Read-Out</t>
  </si>
  <si>
    <t>Customer Support (1–2 people)</t>
  </si>
  <si>
    <t>Customer Success</t>
  </si>
  <si>
    <t>General liability insurance</t>
  </si>
  <si>
    <t>1</t>
  </si>
  <si>
    <t>Budgeting row 55</t>
  </si>
  <si>
    <t>Beta phase — live users need support</t>
  </si>
  <si>
    <t>Budgeting is the primary management input schedule; downstream tabs must link to it.</t>
  </si>
  <si>
    <t>Metric</t>
  </si>
  <si>
    <t>2</t>
  </si>
  <si>
    <t>Gross subscription revenue is shown in Business model but is not netted against the funding ask.</t>
  </si>
  <si>
    <t>Value</t>
  </si>
  <si>
    <t>Interpretation</t>
  </si>
  <si>
    <t>3</t>
  </si>
  <si>
    <t>Refundable/restricted deposits are included in cash requirement but shown separately from operating burn.</t>
  </si>
  <si>
    <t>Peak monthly cash use</t>
  </si>
  <si>
    <t>4</t>
  </si>
  <si>
    <t>Valuation and exit tables are scenario tools; the funding requirement does not determine enterprise value.</t>
  </si>
  <si>
    <t>Month 18 is currently the peak</t>
  </si>
  <si>
    <t>Team Cost &amp; Exit Metrics</t>
  </si>
  <si>
    <t>Average monthly cash use</t>
  </si>
  <si>
    <t>Before contingency</t>
  </si>
  <si>
    <t>Refundable / restricted cash</t>
  </si>
  <si>
    <t>TECH</t>
  </si>
  <si>
    <t>Shown separately from operating burn</t>
  </si>
  <si>
    <t>Server &amp; cloud infrastructure</t>
  </si>
  <si>
    <t>Day 1 — scales with active users</t>
  </si>
  <si>
    <t>Budgeted people/team cost pools</t>
  </si>
  <si>
    <t>Planning case only</t>
  </si>
  <si>
    <t>Sum of explicit people/team rows above</t>
  </si>
  <si>
    <t>Exit monthly payroll / team cost</t>
  </si>
  <si>
    <t>AI &amp; LLM</t>
  </si>
  <si>
    <t>AI massive compute (training/fine-tune build-out)</t>
  </si>
  <si>
    <t>Phase 2 roadmap — after Beta traction proven</t>
  </si>
  <si>
    <t>API</t>
  </si>
  <si>
    <t>Month 18 explicit people/team cost pools</t>
  </si>
  <si>
    <t>Operating capacity assumption from Budgeting</t>
  </si>
  <si>
    <t>Total cost pools listed</t>
  </si>
  <si>
    <t>lines</t>
  </si>
  <si>
    <t>Number of explicit people/team cost pools</t>
  </si>
  <si>
    <t>Cybersecurity Engineer &amp; Deveops</t>
  </si>
  <si>
    <t>Miscellaneous</t>
  </si>
  <si>
    <t>Day 1</t>
  </si>
  <si>
    <t>Dev tools/licenses</t>
  </si>
  <si>
    <t>INVESTMENT &amp; RESEARCH</t>
  </si>
  <si>
    <t>Trader (quant + technical + fundamental )</t>
  </si>
  <si>
    <t>Research/Analysis</t>
  </si>
  <si>
    <t>Risk analyst</t>
  </si>
  <si>
    <t>Private market analyst</t>
  </si>
  <si>
    <t xml:space="preserve">Freelancer &amp; Consultant </t>
  </si>
  <si>
    <t>Tax aspect</t>
  </si>
  <si>
    <t>RIA registration complete, product live</t>
  </si>
  <si>
    <t>Direct equity research</t>
  </si>
  <si>
    <t>Smart team — engine audit / allocation &amp; formulas review</t>
  </si>
  <si>
    <t>MBP live, feedback loop begins</t>
  </si>
  <si>
    <t>commodity</t>
  </si>
  <si>
    <t>compliance officer</t>
  </si>
  <si>
    <t>MARKETING &amp; BRANDING</t>
  </si>
  <si>
    <t>SOCIAL MEDIA</t>
  </si>
  <si>
    <t>ADS</t>
  </si>
  <si>
    <t xml:space="preserve">MEDIA </t>
  </si>
  <si>
    <t>SALES</t>
  </si>
  <si>
    <t>Ground/call team (incl. incentive + salary)</t>
  </si>
  <si>
    <t>HR/payroll/accounting outsourced service</t>
  </si>
  <si>
    <t>Day 1 — registration</t>
  </si>
  <si>
    <t>Customer support (1-2 people)</t>
  </si>
  <si>
    <t>Feedback (read feedback &amp; make report)</t>
  </si>
  <si>
    <t>Beta phase — first paying users give feedback</t>
  </si>
  <si>
    <t>ORGANIZATION</t>
  </si>
  <si>
    <t xml:space="preserve">Office </t>
  </si>
  <si>
    <t>Registration (Pvt Ltd) and other</t>
  </si>
  <si>
    <t>One-time</t>
  </si>
  <si>
    <t>Domain</t>
  </si>
  <si>
    <t>employee count 40 * 1000</t>
  </si>
  <si>
    <t>Email</t>
  </si>
  <si>
    <t>internal built</t>
  </si>
  <si>
    <t>CRM — tracking</t>
  </si>
  <si>
    <t>Registration complete</t>
  </si>
  <si>
    <t>Tea, coffee and water</t>
  </si>
  <si>
    <t>office infra</t>
  </si>
  <si>
    <t>Tools (desktop, wifi and other)</t>
  </si>
  <si>
    <t>Tech support</t>
  </si>
  <si>
    <t>Miscellaneous (electricity and other)</t>
  </si>
  <si>
    <t>COMPLIANCE &amp; LICENSE</t>
  </si>
  <si>
    <t>SEBI RIA application fee</t>
  </si>
  <si>
    <t>RIA application filed</t>
  </si>
  <si>
    <t>Legal/compliance consultant for RIA registration prep</t>
  </si>
  <si>
    <t>RIA prep begins</t>
  </si>
  <si>
    <t>Legal retainer (general corporate / fundraising / contracts)</t>
  </si>
  <si>
    <t>Company Secretary retainer (ROC filings, compliance calendar)</t>
  </si>
  <si>
    <t>Statutory auditor</t>
  </si>
  <si>
    <t>ROC/annual filings</t>
  </si>
  <si>
    <t>Trademark registration</t>
  </si>
  <si>
    <t>DPDP Act / data protection compliance</t>
  </si>
  <si>
    <t>Registration complete, data handling begins</t>
  </si>
  <si>
    <t>Regulatory buffer (unforeseen licenses, data-sharing agreements)</t>
  </si>
  <si>
    <t>Day 1, ongoing reserve</t>
  </si>
  <si>
    <t>Regulatory buffer — one-time top-up</t>
  </si>
  <si>
    <t>RESERVE / REFUNDABLE DEPOSITS — included in cash requirement; tracked separately on 'Returns &amp; Refunds'</t>
  </si>
  <si>
    <t>Reserve (excluded from burn)</t>
  </si>
  <si>
    <t>SEBI RIA deposit</t>
  </si>
  <si>
    <t>18M CASH USE — BEFORE CONTINGENCY</t>
  </si>
  <si>
    <t>TOTAL MONTHLY CASH USE (incl. refundable reserve)</t>
  </si>
  <si>
    <t>CUMULATIVE CASH USE</t>
  </si>
  <si>
    <t>Nxance — Monthly Cash Burn &amp; Runway (₹ lakh)</t>
  </si>
  <si>
    <t>Month</t>
  </si>
  <si>
    <t>Founder / Leadership</t>
  </si>
  <si>
    <t>Insurance</t>
  </si>
  <si>
    <t>Marketing &amp; Branding</t>
  </si>
  <si>
    <t>Organization</t>
  </si>
  <si>
    <t>Compliance &amp; License</t>
  </si>
  <si>
    <t>Operating Burn (excl. reserve)</t>
  </si>
  <si>
    <t>Reserve / Refundable</t>
  </si>
  <si>
    <t>Total Cash Use</t>
  </si>
  <si>
    <t>Cumulative Cash Use</t>
  </si>
  <si>
    <t>Revenue Offset</t>
  </si>
  <si>
    <t>Net Cash Burn</t>
  </si>
  <si>
    <t>Cumulative Net Burn</t>
  </si>
  <si>
    <t>Nxance — Investor Use of Funds (18-Month Base Case)</t>
  </si>
  <si>
    <t>Amount (₹ lakh)</t>
  </si>
  <si>
    <t>Amount (₹ crore)</t>
  </si>
  <si>
    <t>% of Ask</t>
  </si>
  <si>
    <t>What It Funds</t>
  </si>
  <si>
    <t>Investor Rationale</t>
  </si>
  <si>
    <t>Founder / leadership</t>
  </si>
  <si>
    <t>Four founder cash draws across the full runway</t>
  </si>
  <si>
    <t>Maintains founder focus while keeping cash compensation transparent</t>
  </si>
  <si>
    <t>D&amp;O, cyber liability and general liability</t>
  </si>
  <si>
    <t>Protects the company and management against operating risk</t>
  </si>
  <si>
    <t>Technology &amp; AI</t>
  </si>
  <si>
    <t>Cloud, AI/LLM, APIs, engineering, DevOps, tools and compute</t>
  </si>
  <si>
    <t>Funds the core product and production infrastructure</t>
  </si>
  <si>
    <t>Investment &amp; research</t>
  </si>
  <si>
    <t>Quant, portfolio, research, risk, market and compliance expertise</t>
  </si>
  <si>
    <t>Builds financial-intelligence depth and human review capability</t>
  </si>
  <si>
    <t>Marketing &amp; branding</t>
  </si>
  <si>
    <t>Social, ads and media ramp</t>
  </si>
  <si>
    <t>Funds demand generation and brand formation</t>
  </si>
  <si>
    <t>Sales &amp; customer support</t>
  </si>
  <si>
    <t>Ground/call team and customer support</t>
  </si>
  <si>
    <t>Creates conversion, onboarding and feedback loops</t>
  </si>
  <si>
    <t>Organization &amp; office</t>
  </si>
  <si>
    <t>Bengaluru office, email, infra, tools and administration</t>
  </si>
  <si>
    <t>Supports execution without a large fixed fit-out</t>
  </si>
  <si>
    <t>Compliance &amp; licence</t>
  </si>
  <si>
    <t>RIA preparation, legal/CS/audit, DPDP, trademark and regulatory buffer</t>
  </si>
  <si>
    <t>Funds regulated-fintech readiness and governance</t>
  </si>
  <si>
    <t>Refundable / restricted reserve</t>
  </si>
  <si>
    <t>Included in cash requirement but tracked separately from operating burn</t>
  </si>
  <si>
    <t>Contingency reserve</t>
  </si>
  <si>
    <t>12% of operating burn</t>
  </si>
  <si>
    <t>Protects runway from budget variance without overstating base costs</t>
  </si>
  <si>
    <t>Subtotal before contingency</t>
  </si>
  <si>
    <t>Recommended funding ask</t>
  </si>
  <si>
    <t>18-Month Funding Metrics</t>
  </si>
  <si>
    <t>Operating burn — excluding refundable reserve</t>
  </si>
  <si>
    <t>18-month operating cash requirement</t>
  </si>
  <si>
    <t>SEBI RIA deposit tracked separately</t>
  </si>
  <si>
    <t>Operating burn + reserve + contingency</t>
  </si>
  <si>
    <t>Investor-facing amount</t>
  </si>
  <si>
    <t>Product, Regulatory and Funding Milestones</t>
  </si>
  <si>
    <t>Phase</t>
  </si>
  <si>
    <t>Months</t>
  </si>
  <si>
    <t>Product Deliverable</t>
  </si>
  <si>
    <t>Regulatory / Risk Work</t>
  </si>
  <si>
    <t>Validation KPI</t>
  </si>
  <si>
    <t>Key Hires</t>
  </si>
  <si>
    <t>Budget Release Gate</t>
  </si>
  <si>
    <t>Investor Evidence</t>
  </si>
  <si>
    <t>Foundation</t>
  </si>
  <si>
    <t>1–3</t>
  </si>
  <si>
    <t>Portfolio import, health score, analytics engine and admin QA</t>
  </si>
  <si>
    <t>Legal opinion on analytics vs RA vs IA; privacy map; AI disclosure design</t>
  </si>
  <si>
    <t>100 interviews; 30–50 active testers</t>
  </si>
  <si>
    <t>CTO, engineers, ML, quant, product</t>
  </si>
  <si>
    <t>Release alpha build budget</t>
  </si>
  <si>
    <t>Working demo and documented pain points</t>
  </si>
  <si>
    <t>Alpha</t>
  </si>
  <si>
    <t>4–6</t>
  </si>
  <si>
    <t>Risk profile, suitability workflow, Monte Carlo and human review</t>
  </si>
  <si>
    <t>SEBI readiness/application path; KYC design; first VAPT; incident plan</t>
  </si>
  <si>
    <t>100+ completed analyses; 40% repeat usage</t>
  </si>
  <si>
    <t>QA, DevOps/security, compliance</t>
  </si>
  <si>
    <t>Release closed-beta budget</t>
  </si>
  <si>
    <t>Controls, audit trail and adviser workflow</t>
  </si>
  <si>
    <t>Closed Beta</t>
  </si>
  <si>
    <t>7–9</t>
  </si>
  <si>
    <t>Payments, recommendations, model monitoring and support workflows</t>
  </si>
  <si>
    <t>Client agreements, record keeping, AI-use disclosures and data licences</t>
  </si>
  <si>
    <t>300–500 users; 25–50 paying users</t>
  </si>
  <si>
    <t>2nd backend and ML engineer</t>
  </si>
  <si>
    <t>Release public-launch budget</t>
  </si>
  <si>
    <t>Retention, paid conversion and support data</t>
  </si>
  <si>
    <t>Public V1</t>
  </si>
  <si>
    <t>10–12</t>
  </si>
  <si>
    <t>Scalable production product, portfolio monitoring and reports</t>
  </si>
  <si>
    <t>Production VAPT; vendor reviews; complaints and audit processes</t>
  </si>
  <si>
    <t>1,000+ users; early recurring revenue</t>
  </si>
  <si>
    <t>2nd customer success</t>
  </si>
  <si>
    <t>Release simulation phase</t>
  </si>
  <si>
    <t>Revenue quality and operating resilience</t>
  </si>
  <si>
    <t>Simulation Alpha</t>
  </si>
  <si>
    <t>13–15</t>
  </si>
  <si>
    <t>Market replay, synthetic scenarios, behavioural agents and stress tests</t>
  </si>
  <si>
    <t>Model-risk framework, scenario validation and explainability</t>
  </si>
  <si>
    <t>2 design partners; validated scenario library</t>
  </si>
  <si>
    <t>Simulation scientist</t>
  </si>
  <si>
    <t>Release institutional-pilot budget</t>
  </si>
  <si>
    <t>Technical differentiation and enterprise demand</t>
  </si>
  <si>
    <t>Institutional Scale</t>
  </si>
  <si>
    <t>16–18</t>
  </si>
  <si>
    <t>Advisor + simulation platform, APIs and enterprise dashboards</t>
  </si>
  <si>
    <t>ISO/SOC readiness, advanced security review, policy refresh</t>
  </si>
  <si>
    <t>3 institutional pilots; 5,000 users target</t>
  </si>
  <si>
    <t>Existing team scales operations</t>
  </si>
  <si>
    <t>Prepare next round</t>
  </si>
  <si>
    <t>Pilot LOIs, revenue and governance maturity</t>
  </si>
  <si>
    <t>Regulatory Product Boundary — Budget Implication</t>
  </si>
  <si>
    <t>Product Mode</t>
  </si>
  <si>
    <t>Likely Regulatory Track</t>
  </si>
  <si>
    <t>What the Product Can Do</t>
  </si>
  <si>
    <t>What Changes in Budget</t>
  </si>
  <si>
    <t>Key Control</t>
  </si>
  <si>
    <t>Go-Live Condition</t>
  </si>
  <si>
    <t>Owner</t>
  </si>
  <si>
    <t>Note</t>
  </si>
  <si>
    <t>Analytics-only</t>
  </si>
  <si>
    <t>Lower-regulatory product layer</t>
  </si>
  <si>
    <t>Historical analysis, risk metrics and general education without personalised buy/sell advice</t>
  </si>
  <si>
    <t>Can launch earlier; still needs privacy, security and data licences</t>
  </si>
  <si>
    <t>Clear non-advisory boundaries</t>
  </si>
  <si>
    <t>External legal opinion</t>
  </si>
  <si>
    <t>Founder + counsel</t>
  </si>
  <si>
    <t>Do not rely only on disclaimers</t>
  </si>
  <si>
    <t>Research recommendations</t>
  </si>
  <si>
    <t>SEBI Research Analyst path may apply</t>
  </si>
  <si>
    <t>Security-specific research/recommendations or model portfolios</t>
  </si>
  <si>
    <t>RA registration, certifications, records and disclosures</t>
  </si>
  <si>
    <t>Research methodology and conflict controls</t>
  </si>
  <si>
    <t>Registration/readiness confirmation</t>
  </si>
  <si>
    <t>Compliance lead</t>
  </si>
  <si>
    <t>AI use must be transparently disclosed</t>
  </si>
  <si>
    <t>Personalised advice</t>
  </si>
  <si>
    <t>SEBI Investment Adviser path likely applies</t>
  </si>
  <si>
    <t>Advice tailored to client goals, risk and portfolio</t>
  </si>
  <si>
    <t>RIA application, deposit, KYC, risk profiling, suitability, agreements and records</t>
  </si>
  <si>
    <t>Fiduciary/human accountability</t>
  </si>
  <si>
    <t>Registration and operating controls</t>
  </si>
  <si>
    <t>Principal officer + compliance</t>
  </si>
  <si>
    <t>Core advisory/compliance cannot be outsourced</t>
  </si>
  <si>
    <t>Execution / brokerage integration</t>
  </si>
  <si>
    <t>Additional partner and regulatory dependencies</t>
  </si>
  <si>
    <t>Implementation, account aggregation, execution or brokerage-linked workflows</t>
  </si>
  <si>
    <t>Partner integration, due diligence and stronger controls</t>
  </si>
  <si>
    <t>Client consent and activity segregation</t>
  </si>
  <si>
    <t>Approved regulated partner model</t>
  </si>
  <si>
    <t>CEO + compliance</t>
  </si>
  <si>
    <t>Treat as a later phase</t>
  </si>
  <si>
    <t>PHASED FUNDING STRUCTURE — ₹12.49 Cr / 20.00% Equity / 18 Months</t>
  </si>
  <si>
    <t>Capital and equity are released together, tranche by tranche, only once the linked milestone/gate is met (see 'Investor Decision Gates' tab)</t>
  </si>
  <si>
    <t>Tranche / Gate</t>
  </si>
  <si>
    <t>Period</t>
  </si>
  <si>
    <t>Capital (₹ L)</t>
  </si>
  <si>
    <t>Capital (₹L/month)</t>
  </si>
  <si>
    <t>Equity this tranche</t>
  </si>
  <si>
    <t>Cumulative capital (₹ L)</t>
  </si>
  <si>
    <t>Cumulative equity</t>
  </si>
  <si>
    <t>Key deliverables (unlocks the tranche)</t>
  </si>
  <si>
    <t xml:space="preserve">Tranche 1 </t>
  </si>
  <si>
    <t>Month 1–6</t>
  </si>
  <si>
    <t>Legal foundation live + MBP fully built across all 3 engines. Pvt Ltd registration, ESOP pool, founder/core payroll active, Number Guard live from Day 1, MBP feature-complete, core team hired.</t>
  </si>
  <si>
    <t>Month 7–12</t>
  </si>
  <si>
    <t>Open beta live; MBP converts toward SEBI-RIA readiness. Legal/compliance consultant onboard, VAPT + data-security plan executed, SEBI-RIA application filed, beta feature build (construction/tracking hardening). Established run-rate with recurring revenue, institutional pilots and security maturity.</t>
  </si>
  <si>
    <t xml:space="preserve">Tranche 3 </t>
  </si>
  <si>
    <t>Month 13–18</t>
  </si>
  <si>
    <t>SEBI-RIA registration secured; paid conversion, repeat-use and support data validated. ML/AI/Cybersecurity engineers onboard, Phase-1 roadmap (Gold, ETF) underway. Full team run-rate, growth channels (marketing, distributor), compliance filings and statutory audit complete, next financing/strategic path prepared.</t>
  </si>
  <si>
    <t>TOTAL (Round, if fully drawn)</t>
  </si>
  <si>
    <t>Nxance — Valuation &amp; Dilution Scenario Framework</t>
  </si>
  <si>
    <t>Selected Round Economics</t>
  </si>
  <si>
    <t>Dilution / Valuation Sensitivity</t>
  </si>
  <si>
    <t>Input / Output</t>
  </si>
  <si>
    <t>Rationale</t>
  </si>
  <si>
    <t>Round Dilution</t>
  </si>
  <si>
    <t>Pre-Money (₹ crore)</t>
  </si>
  <si>
    <t>Post-Money (₹ crore)</t>
  </si>
  <si>
    <t>Exit Ownership after Future Dilution</t>
  </si>
  <si>
    <t>Required Exit for 10x (₹ crore)</t>
  </si>
  <si>
    <t>Linked to 18-month funding model</t>
  </si>
  <si>
    <t>Editable planning case; not a valuation opinion</t>
  </si>
  <si>
    <t>Implied pre-money valuation</t>
  </si>
  <si>
    <t>Ask × (1-dilution) ÷ dilution</t>
  </si>
  <si>
    <t>Implied post-money valuation</t>
  </si>
  <si>
    <t>Ask ÷ dilution</t>
  </si>
  <si>
    <t>Future dilution after this round</t>
  </si>
  <si>
    <t>Series A/B + ESOP sensitivity</t>
  </si>
  <si>
    <t>Investor ownership at exit</t>
  </si>
  <si>
    <t>Initial ownership retained after future dilution</t>
  </si>
  <si>
    <t>Exit return hurdle for sensitivity only</t>
  </si>
  <si>
    <t>Scenario anchor</t>
  </si>
  <si>
    <t>Exit value required for target MOIC</t>
  </si>
  <si>
    <t>Investment × target MOIC ÷ exit ownership</t>
  </si>
  <si>
    <t>Year-5 Revenue Cross-Check</t>
  </si>
  <si>
    <t>Investor Return Cross-Check</t>
  </si>
  <si>
    <t>Reference from earlier integrated operating model</t>
  </si>
  <si>
    <t>Exit Value (₹ crore)</t>
  </si>
  <si>
    <t>Investor Proceeds (₹ crore)</t>
  </si>
  <si>
    <t>MOIC</t>
  </si>
  <si>
    <t>5Y IRR</t>
  </si>
  <si>
    <t>Exit multiple cross-check</t>
  </si>
  <si>
    <t>Illustrative revenue multiple</t>
  </si>
  <si>
    <t>6x Year-5 revenue cross-check</t>
  </si>
  <si>
    <t>Implied exit value at selected multiple</t>
  </si>
  <si>
    <t>Year-5 revenue × multiple</t>
  </si>
  <si>
    <t>Illustrative target exit</t>
  </si>
  <si>
    <t>Revenue multiple required for target exit</t>
  </si>
  <si>
    <t>Target exit ÷ Year-5 revenue</t>
  </si>
  <si>
    <t>Required exit for target MOIC</t>
  </si>
  <si>
    <t>Nxance — Revenue Model &amp; Subscription Economics</t>
  </si>
  <si>
    <t>Subscription Pricing</t>
  </si>
  <si>
    <t>Tier</t>
  </si>
  <si>
    <t>Price / Month (₹)</t>
  </si>
  <si>
    <t>Price / Year (₹)</t>
  </si>
  <si>
    <t>What's included</t>
  </si>
  <si>
    <t>One-Time unlock</t>
  </si>
  <si>
    <t>₹99 one-time</t>
  </si>
  <si>
    <t>-</t>
  </si>
  <si>
    <t>Full Health Check report unlock — MBP success-gate funnel qualifier, not a plan</t>
  </si>
  <si>
    <t>Plan 1 — Starter</t>
  </si>
  <si>
    <t>2 portfolios; Health Check + Construction; 7–8 sub-engines; limited NxanceLM; monthly auto re-check</t>
  </si>
  <si>
    <t>Plan 2 — Growth</t>
  </si>
  <si>
    <t>2–5 portfolios; 10–15 sub-engines; deep re-check; rebalancing nudges; execution; priority queue</t>
  </si>
  <si>
    <t>Plan 3 — Pro</t>
  </si>
  <si>
    <t>5–10 portfolios; all 26+ sub-engines; unlimited NxanceLM; fastest queue; priority support; early access</t>
  </si>
  <si>
    <t>18-Month Revenue Milestones</t>
  </si>
  <si>
    <t>Milestone</t>
  </si>
  <si>
    <t>Paying Subscribers (end of period)</t>
  </si>
  <si>
    <t>Est. Revenue Collected in Block (₹ lakh)</t>
  </si>
  <si>
    <t>Milestone 1</t>
  </si>
  <si>
    <t>Months 1–5</t>
  </si>
  <si>
    <t>Milestone 2</t>
  </si>
  <si>
    <t>Months 6–12</t>
  </si>
  <si>
    <t>Milestone 3</t>
  </si>
  <si>
    <t>Months 13–18</t>
  </si>
  <si>
    <t>TOTAL estimated subscription revenue</t>
  </si>
  <si>
    <t>18M operating burn — excluding refundable reserve</t>
  </si>
  <si>
    <t>Revenue as % of operating burn</t>
  </si>
  <si>
    <t>Revenue as % of funding ask</t>
  </si>
  <si>
    <t>Funding policy</t>
  </si>
  <si>
    <t>Revenue is shown as upside and is not netted against the investor ask.</t>
  </si>
  <si>
    <t>Nxance — Exit Plan &amp; Investor Return Scenarios</t>
  </si>
  <si>
    <t>Exit Inputs</t>
  </si>
  <si>
    <t>Required Exit by Target Return</t>
  </si>
  <si>
    <t>Input</t>
  </si>
  <si>
    <t>Notes</t>
  </si>
  <si>
    <t>Target MOIC</t>
  </si>
  <si>
    <t>Required Exit (₹ crore)</t>
  </si>
  <si>
    <t>Current investment</t>
  </si>
  <si>
    <t>Initial investor ownership</t>
  </si>
  <si>
    <t>Planning case from valuation tab</t>
  </si>
  <si>
    <t>Future dilution</t>
  </si>
  <si>
    <t>Illustrative later-round + ESOP dilution</t>
  </si>
  <si>
    <t>Final investor ownership at exit</t>
  </si>
  <si>
    <t>Initial ownership × retained percentage</t>
  </si>
  <si>
    <t>Used for IRR calculations</t>
  </si>
  <si>
    <t>Return sensitivity target</t>
  </si>
  <si>
    <t>Exit Value Sensitivity</t>
  </si>
  <si>
    <t>Founder / Other Holder Value (₹ crore)</t>
  </si>
  <si>
    <t>Sub-scale strategic outcome</t>
  </si>
  <si>
    <t>Strong strategic outcome</t>
  </si>
  <si>
    <t>Illustrative target case</t>
  </si>
  <si>
    <t>High-quality category outcome</t>
  </si>
  <si>
    <t>Exceptional outcome</t>
  </si>
  <si>
    <t>Strategic Exit Routes — Management Planning Framework</t>
  </si>
  <si>
    <t>Route</t>
  </si>
  <si>
    <t>Illustrative Horizon</t>
  </si>
  <si>
    <t>What Needs to Be True</t>
  </si>
  <si>
    <t>Evidence to Build</t>
  </si>
  <si>
    <t>Primary Risk</t>
  </si>
  <si>
    <t>Strategic acquisition by wealth / fintech platform</t>
  </si>
  <si>
    <t>3–5 years</t>
  </si>
  <si>
    <t>Meaningful paying user base, defensible analytics, regulated operating capability</t>
  </si>
  <si>
    <t>Retention, recurring revenue, integrations, audited controls</t>
  </si>
  <si>
    <t>Acquirer dependence before product-market fit</t>
  </si>
  <si>
    <t>Broker / bank / AMC technology acquisition</t>
  </si>
  <si>
    <t>4–6 years</t>
  </si>
  <si>
    <t>Advice/research workflows are reliable, compliant and easy to integrate</t>
  </si>
  <si>
    <t>Institutional pilots, APIs, data rights, governance</t>
  </si>
  <si>
    <t>Regulatory scope and integration complexity</t>
  </si>
  <si>
    <t>Enterprise AI / risk analytics acquisition</t>
  </si>
  <si>
    <t>4–7 years</t>
  </si>
  <si>
    <t>Simulation and portfolio-intelligence engine becomes enterprise-grade</t>
  </si>
  <si>
    <t>Institutional ARR, scenario IP, security certifications</t>
  </si>
  <si>
    <t>Long enterprise sales cycles</t>
  </si>
  <si>
    <t>Independent scale / IPO pathway</t>
  </si>
  <si>
    <t>7+ years</t>
  </si>
  <si>
    <t>Large recurring revenue base, improving profitability and mature governance</t>
  </si>
  <si>
    <t>Multi-year audited growth, board quality, cash discipline</t>
  </si>
  <si>
    <t>Capital intensity and execution duration</t>
  </si>
  <si>
    <t>Note: Exit values are scenario sensitivities, not forecasts. The model is designed to show what ownership, dilution and operating outcomes would be required for different investor return targets.</t>
  </si>
  <si>
    <t>Nxance — Model Sources, Benchmarks &amp; Internal Inputs</t>
  </si>
  <si>
    <t>Model Area</t>
  </si>
  <si>
    <t>Input / Benchmark</t>
  </si>
  <si>
    <t>Source Type</t>
  </si>
  <si>
    <t>Source / URL</t>
  </si>
  <si>
    <t>How Used</t>
  </si>
  <si>
    <t>Update Needed?</t>
  </si>
  <si>
    <t>Budget</t>
  </si>
  <si>
    <t>18-month detailed management schedule</t>
  </si>
  <si>
    <t>Internal management input</t>
  </si>
  <si>
    <t>Budgeting tab</t>
  </si>
  <si>
    <t>Primary source of monthly cash use and category totals</t>
  </si>
  <si>
    <t>When management changes budget</t>
  </si>
  <si>
    <t>Revenue</t>
  </si>
  <si>
    <t>Subscription pricing and 18-month subscriber milestones</t>
  </si>
  <si>
    <t>Business model tab</t>
  </si>
  <si>
    <t>Gross revenue illustration; not netted against funding ask</t>
  </si>
  <si>
    <t>When pricing / traction changes</t>
  </si>
  <si>
    <t>Regulatory</t>
  </si>
  <si>
    <t>Investment Adviser FAQ / deposit reference</t>
  </si>
  <si>
    <t>External regulatory reference</t>
  </si>
  <si>
    <t>https://www.sebi.gov.in/sebi_data/faqfiles/aug-2025/1755174193178.pdf</t>
  </si>
  <si>
    <t>Regulatory deposit / readiness reference</t>
  </si>
  <si>
    <t>Verify before filing / fundraising close</t>
  </si>
  <si>
    <t>Market data</t>
  </si>
  <si>
    <t>NSE corporate data subscription benchmark</t>
  </si>
  <si>
    <t>External market-data benchmark</t>
  </si>
  <si>
    <t>https://www.nseindia.com/static/market-data/corporate-data-subscription</t>
  </si>
  <si>
    <t>Evidence that licensed data can be material</t>
  </si>
  <si>
    <t>Replace with vendor quotations</t>
  </si>
  <si>
    <t>Valuation</t>
  </si>
  <si>
    <t>Prior Nxance integrated valuation &amp; dilution model</t>
  </si>
  <si>
    <t>Internal prior model</t>
  </si>
  <si>
    <t>Fintech_Integrated_Financial_Valuation_Dilution_Model.xlsx</t>
  </si>
  <si>
    <t>Future dilution, MOIC, Year-5 revenue and exit-multiple cross-checks</t>
  </si>
  <si>
    <t>Refresh after traction / term-sheet feedback</t>
  </si>
  <si>
    <t>Internal model policy</t>
  </si>
  <si>
    <t>Assumptions tab</t>
  </si>
  <si>
    <t>Runway protection; excludes refundable reserve</t>
  </si>
  <si>
    <t>Board / investor decision</t>
  </si>
  <si>
    <t>Headcount</t>
  </si>
  <si>
    <t>40-person operating capacity</t>
  </si>
  <si>
    <t>Budgeting — Organization / Email line</t>
  </si>
  <si>
    <t>Executive headcount capacity indicator</t>
  </si>
  <si>
    <t>Replace with HR-approved org chart</t>
  </si>
  <si>
    <t>Source Control Note: External regulatory and vendor benchmarks should be re-verified before a financing close or regulated launch. Internal management inputs are intentionally kept distinct from external benchmarks.</t>
  </si>
  <si>
    <t>Nxance — Refundable / Restricted Cash Tracker</t>
  </si>
  <si>
    <t>Item</t>
  </si>
  <si>
    <t>Funding Month</t>
  </si>
  <si>
    <t>Cash Outflow (₹ lakh)</t>
  </si>
  <si>
    <t>Accounting / Cash Treatment</t>
  </si>
  <si>
    <t>Expected Return / Release</t>
  </si>
  <si>
    <t>Status</t>
  </si>
  <si>
    <t>Linked Budget Cell</t>
  </si>
  <si>
    <t>Restricted/refundable cash; excluded from operating burn</t>
  </si>
  <si>
    <t>TBD / subject to regulatory terms</t>
  </si>
  <si>
    <t>Planned</t>
  </si>
  <si>
    <t>Budgeting!Z84</t>
  </si>
  <si>
    <t>Track release separately; do not treat as operating expense</t>
  </si>
  <si>
    <t>Control Metric</t>
  </si>
  <si>
    <t>Total restricted / refundable cash</t>
  </si>
  <si>
    <t>Linked to all tracker items</t>
  </si>
  <si>
    <t>Returned / released cash</t>
  </si>
  <si>
    <t>Update when actually released</t>
  </si>
  <si>
    <t>Outstanding restricted cash</t>
  </si>
  <si>
    <t>Total less released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</si>
</sst>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0;[Red](0.00);-"/>
    <numFmt numFmtId="165" formatCode="0.0%;[Red](0.0%);-"/>
    <numFmt numFmtId="166" formatCode="0;[Red](0);-"/>
    <numFmt numFmtId="167" formatCode="₹0.00 &quot;Cr&quot;"/>
    <numFmt numFmtId="168" formatCode="₹0.0 &quot;L/month&quot;"/>
    <numFmt numFmtId="169" formatCode="\₹#,##0.00;&quot;(₹&quot;#,##0.00\);\-"/>
    <numFmt numFmtId="170" formatCode="0.0x;[Red](0.0x);-"/>
    <numFmt numFmtId="171" formatCode="[$₹]#,##0.00"/>
    <numFmt numFmtId="172" formatCode="\₹0.00&quot; Cr&quot;"/>
    <numFmt numFmtId="173" formatCode="₹0.00;[Red](₹0.00);-"/>
    <numFmt numFmtId="174" formatCode="₹0.00&quot; Cr&quot;;[Red](₹0.00&quot; Cr&quot;);-"/>
    <numFmt numFmtId="175" formatCode="#,##0;[Red](#,##0);-"/>
  </numFmts>
  <fonts count="29">
    <font>
      <sz val="10.0"/>
      <color rgb="FF000000"/>
      <name val="Arial"/>
      <scheme val="minor"/>
    </font>
    <font>
      <b/>
      <sz val="15.0"/>
      <color rgb="FF000000"/>
      <name val="Arial"/>
    </font>
    <font>
      <color theme="1"/>
      <name val="Arial"/>
    </font>
    <font>
      <color rgb="FF000000"/>
      <name val="Arial"/>
    </font>
    <font>
      <b/>
      <color rgb="FF000000"/>
      <name val="Arial"/>
    </font>
    <font>
      <b/>
      <color rgb="FF0F2F4F"/>
      <name val="Arial"/>
    </font>
    <font>
      <b/>
      <sz val="13.0"/>
      <color rgb="FF008000"/>
      <name val="Arial"/>
    </font>
    <font>
      <sz val="9.0"/>
      <color rgb="FF000000"/>
      <name val="Arial"/>
    </font>
    <font>
      <i/>
      <sz val="8.0"/>
      <color rgb="FF000000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b/>
      <color theme="1"/>
      <name val="Arial"/>
    </font>
    <font>
      <sz val="11.0"/>
      <color theme="1"/>
      <name val="Calibri"/>
    </font>
    <font>
      <color rgb="FF008000"/>
      <name val="Arial"/>
    </font>
    <font/>
    <font>
      <sz val="11.0"/>
      <color rgb="FF000000"/>
      <name val="Calibri"/>
    </font>
    <font>
      <i/>
      <sz val="9.0"/>
      <color rgb="FF000000"/>
      <name val="Arial"/>
    </font>
    <font>
      <b/>
      <sz val="15.0"/>
      <color rgb="FF000000"/>
      <name val="Carlito"/>
    </font>
    <font>
      <b/>
      <color rgb="FF0F2F4F"/>
      <name val="Carlito"/>
    </font>
    <font>
      <color theme="1"/>
      <name val="Carlito"/>
    </font>
    <font>
      <b/>
      <color rgb="FF000000"/>
      <name val="Carlito"/>
    </font>
    <font>
      <b/>
      <sz val="16.0"/>
      <color rgb="FF1F2937"/>
      <name val="Arial"/>
    </font>
    <font>
      <b/>
      <color rgb="FFFFFFFF"/>
      <name val="Arial"/>
    </font>
    <font>
      <color theme="1"/>
      <name val="Arial"/>
      <scheme val="minor"/>
    </font>
    <font>
      <b/>
      <color rgb="FF1F2937"/>
      <name val="Arial"/>
    </font>
    <font>
      <b/>
      <sz val="16.0"/>
      <color rgb="FF000000"/>
      <name val="Arial"/>
    </font>
    <font>
      <i/>
      <color rgb="FF000000"/>
      <name val="Arial"/>
    </font>
    <font>
      <color rgb="FF0000FF"/>
      <name val="Arial"/>
    </font>
    <font>
      <i/>
      <color rgb="FF7F6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  <fill>
      <patternFill patternType="solid">
        <fgColor rgb="FFEEF5FB"/>
        <bgColor rgb="FFEEF5FB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bottom/>
    </border>
    <border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/>
    </border>
    <border>
      <left style="thin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bottom style="thin">
        <color rgb="FFAAB7C4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shrinkToFit="0" wrapText="1"/>
    </xf>
    <xf borderId="0" fillId="3" fontId="2" numFmtId="0" xfId="0" applyAlignment="1" applyFill="1" applyFont="1">
      <alignment vertical="bottom"/>
    </xf>
    <xf borderId="0" fillId="2" fontId="1" numFmtId="0" xfId="0" applyAlignment="1" applyFill="1" applyFont="1">
      <alignment horizontal="left" shrinkToFit="0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4" fontId="4" numFmtId="0" xfId="0" applyAlignment="1" applyBorder="1" applyFill="1" applyFont="1">
      <alignment horizontal="center" shrinkToFit="0" vertical="center" wrapText="1"/>
    </xf>
    <xf borderId="0" fillId="5" fontId="5" numFmtId="0" xfId="0" applyAlignment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vertical="bottom"/>
    </xf>
    <xf borderId="4" fillId="2" fontId="4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4" fillId="2" fontId="3" numFmtId="164" xfId="0" applyAlignment="1" applyBorder="1" applyFill="1" applyFont="1" applyNumberForma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4" fillId="2" fontId="3" numFmtId="165" xfId="0" applyAlignment="1" applyBorder="1" applyFill="1" applyFont="1" applyNumberFormat="1">
      <alignment vertical="center"/>
    </xf>
    <xf borderId="0" fillId="0" fontId="3" numFmtId="166" xfId="0" applyAlignment="1" applyFont="1" applyNumberFormat="1">
      <alignment horizontal="center" shrinkToFit="0" vertical="center" wrapText="1"/>
    </xf>
    <xf borderId="0" fillId="3" fontId="1" numFmtId="0" xfId="0" applyAlignment="1" applyFill="1" applyFont="1">
      <alignment horizontal="left" shrinkToFit="0" wrapText="1"/>
    </xf>
    <xf borderId="0" fillId="0" fontId="6" numFmtId="164" xfId="0" applyAlignment="1" applyFont="1" applyNumberFormat="1">
      <alignment horizontal="center" shrinkToFit="0" vertical="center" wrapText="1"/>
    </xf>
    <xf borderId="0" fillId="2" fontId="3" numFmtId="164" xfId="0" applyAlignment="1" applyFill="1" applyFont="1" applyNumberFormat="1">
      <alignment vertical="center"/>
    </xf>
    <xf borderId="0" fillId="3" fontId="3" numFmtId="0" xfId="0" applyAlignment="1" applyFill="1" applyFont="1">
      <alignment horizontal="center" shrinkToFit="0" vertical="bottom" wrapText="1"/>
    </xf>
    <xf borderId="4" fillId="0" fontId="3" numFmtId="0" xfId="0" applyAlignment="1" applyBorder="1" applyFont="1">
      <alignment vertical="center"/>
    </xf>
    <xf borderId="4" fillId="0" fontId="7" numFmtId="0" xfId="0" applyAlignment="1" applyBorder="1" applyFont="1">
      <alignment horizontal="center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1"/>
    </xf>
    <xf borderId="4" fillId="0" fontId="8" numFmtId="0" xfId="0" applyAlignment="1" applyBorder="1" applyFont="1">
      <alignment horizontal="center"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0" fillId="0" fontId="2" numFmtId="167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" xfId="0" applyAlignment="1" applyFont="1" applyNumberFormat="1">
      <alignment vertical="center"/>
    </xf>
    <xf borderId="0" fillId="0" fontId="2" numFmtId="168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3" fontId="3" numFmtId="169" xfId="0" applyAlignment="1" applyFill="1" applyFont="1" applyNumberFormat="1">
      <alignment vertical="bottom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2" xfId="0" applyAlignment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5" fillId="3" fontId="3" numFmtId="0" xfId="0" applyAlignment="1" applyBorder="1" applyFill="1" applyFont="1">
      <alignment vertical="center"/>
    </xf>
    <xf borderId="5" fillId="3" fontId="3" numFmtId="164" xfId="0" applyAlignment="1" applyBorder="1" applyFill="1" applyFont="1" applyNumberFormat="1">
      <alignment vertical="center"/>
    </xf>
    <xf borderId="5" fillId="3" fontId="3" numFmtId="165" xfId="0" applyAlignment="1" applyBorder="1" applyFill="1" applyFont="1" applyNumberFormat="1">
      <alignment vertical="center"/>
    </xf>
    <xf borderId="0" fillId="2" fontId="9" numFmtId="0" xfId="0" applyAlignment="1" applyFill="1" applyFont="1">
      <alignment shrinkToFit="0" vertical="center" wrapText="1"/>
    </xf>
    <xf borderId="6" fillId="3" fontId="10" numFmtId="164" xfId="0" applyAlignment="1" applyBorder="1" applyFill="1" applyFont="1" applyNumberFormat="1">
      <alignment horizontal="center" shrinkToFit="0" vertical="center" wrapText="1"/>
    </xf>
    <xf borderId="0" fillId="2" fontId="9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4" fontId="11" numFmtId="0" xfId="0" applyAlignment="1" applyBorder="1" applyFill="1" applyFont="1">
      <alignment shrinkToFit="0" vertical="center" wrapText="1"/>
    </xf>
    <xf borderId="0" fillId="3" fontId="3" numFmtId="0" xfId="0" applyAlignment="1" applyFill="1" applyFont="1">
      <alignment horizontal="center" shrinkToFit="0" vertical="top" wrapText="1"/>
    </xf>
    <xf borderId="4" fillId="4" fontId="11" numFmtId="0" xfId="0" applyAlignment="1" applyBorder="1" applyFill="1" applyFont="1">
      <alignment horizontal="center" shrinkToFit="0" vertical="center" wrapText="1"/>
    </xf>
    <xf borderId="4" fillId="4" fontId="12" numFmtId="0" xfId="0" applyAlignment="1" applyBorder="1" applyFill="1" applyFont="1">
      <alignment vertical="center"/>
    </xf>
    <xf borderId="0" fillId="4" fontId="2" numFmtId="0" xfId="0" applyAlignment="1" applyFill="1" applyFont="1">
      <alignment vertical="center"/>
    </xf>
    <xf borderId="4" fillId="6" fontId="2" numFmtId="0" xfId="0" applyAlignment="1" applyBorder="1" applyFill="1" applyFont="1">
      <alignment horizontal="center" shrinkToFit="0" vertical="center" wrapText="1"/>
    </xf>
    <xf borderId="0" fillId="0" fontId="3" numFmtId="170" xfId="0" applyAlignment="1" applyFont="1" applyNumberFormat="1">
      <alignment horizontal="center" shrinkToFit="0" vertical="center" wrapText="1"/>
    </xf>
    <xf borderId="4" fillId="0" fontId="2" numFmtId="171" xfId="0" applyAlignment="1" applyBorder="1" applyFont="1" applyNumberFormat="1">
      <alignment horizontal="right" shrinkToFit="0" vertical="center" wrapText="1"/>
    </xf>
    <xf borderId="0" fillId="0" fontId="3" numFmtId="2" xfId="0" applyAlignment="1" applyFont="1" applyNumberFormat="1">
      <alignment horizontal="center" shrinkToFit="0" vertical="bottom" wrapText="1"/>
    </xf>
    <xf borderId="4" fillId="0" fontId="2" numFmtId="172" xfId="0" applyAlignment="1" applyBorder="1" applyFont="1" applyNumberFormat="1">
      <alignment horizontal="right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4" fontId="5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13" numFmtId="164" xfId="0" applyAlignment="1" applyFont="1" applyNumberFormat="1">
      <alignment horizontal="right" shrinkToFit="0" vertical="center" wrapText="1"/>
    </xf>
    <xf borderId="0" fillId="0" fontId="3" numFmtId="173" xfId="0" applyAlignment="1" applyFont="1" applyNumberFormat="1">
      <alignment horizontal="center" shrinkToFit="0" vertical="bottom" wrapText="1"/>
    </xf>
    <xf borderId="0" fillId="3" fontId="9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vertical="bottom"/>
    </xf>
    <xf borderId="0" fillId="0" fontId="13" numFmtId="165" xfId="0" applyAlignment="1" applyFont="1" applyNumberFormat="1">
      <alignment horizontal="right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3" fontId="3" numFmtId="0" xfId="0" applyAlignment="1" applyBorder="1" applyFill="1" applyFont="1">
      <alignment vertical="center"/>
    </xf>
    <xf borderId="4" fillId="3" fontId="3" numFmtId="164" xfId="0" applyAlignment="1" applyBorder="1" applyFill="1" applyFont="1" applyNumberFormat="1">
      <alignment vertical="center"/>
    </xf>
    <xf borderId="4" fillId="3" fontId="3" numFmtId="165" xfId="0" applyAlignment="1" applyBorder="1" applyFill="1" applyFont="1" applyNumberFormat="1">
      <alignment vertical="center"/>
    </xf>
    <xf borderId="0" fillId="3" fontId="3" numFmtId="164" xfId="0" applyAlignment="1" applyFill="1" applyFont="1" applyNumberFormat="1">
      <alignment vertical="center"/>
    </xf>
    <xf borderId="7" fillId="2" fontId="4" numFmtId="0" xfId="0" applyAlignment="1" applyBorder="1" applyFill="1" applyFont="1">
      <alignment horizontal="center" shrinkToFit="0" vertical="center" wrapText="1"/>
    </xf>
    <xf borderId="8" fillId="0" fontId="14" numFmtId="0" xfId="0" applyBorder="1" applyFont="1"/>
    <xf borderId="0" fillId="3" fontId="3" numFmtId="4" xfId="0" applyAlignment="1" applyFill="1" applyFont="1" applyNumberFormat="1">
      <alignment vertical="bottom"/>
    </xf>
    <xf borderId="4" fillId="3" fontId="15" numFmtId="0" xfId="0" applyAlignment="1" applyBorder="1" applyFill="1" applyFont="1">
      <alignment horizontal="center" shrinkToFit="0" vertical="center" wrapText="1"/>
    </xf>
    <xf borderId="4" fillId="3" fontId="3" numFmtId="164" xfId="0" applyAlignment="1" applyBorder="1" applyFill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0" fontId="3" numFmtId="165" xfId="0" applyAlignment="1" applyBorder="1" applyFont="1" applyNumberFormat="1">
      <alignment vertical="center"/>
    </xf>
    <xf borderId="4" fillId="0" fontId="3" numFmtId="164" xfId="0" applyAlignment="1" applyBorder="1" applyFont="1" applyNumberFormat="1">
      <alignment vertical="center"/>
    </xf>
    <xf borderId="9" fillId="3" fontId="3" numFmtId="0" xfId="0" applyAlignment="1" applyBorder="1" applyFill="1" applyFont="1">
      <alignment vertical="center"/>
    </xf>
    <xf borderId="9" fillId="3" fontId="3" numFmtId="164" xfId="0" applyAlignment="1" applyBorder="1" applyFill="1" applyFont="1" applyNumberFormat="1">
      <alignment vertical="center"/>
    </xf>
    <xf borderId="9" fillId="3" fontId="3" numFmtId="165" xfId="0" applyAlignment="1" applyBorder="1" applyFill="1" applyFont="1" applyNumberFormat="1">
      <alignment vertical="center"/>
    </xf>
    <xf borderId="9" fillId="3" fontId="10" numFmtId="164" xfId="0" applyAlignment="1" applyBorder="1" applyFill="1" applyFont="1" applyNumberFormat="1">
      <alignment horizontal="center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6" numFmtId="164" xfId="0" applyAlignment="1" applyBorder="1" applyFont="1" applyNumberFormat="1">
      <alignment horizontal="center" shrinkToFit="0" vertical="center" wrapText="1"/>
    </xf>
    <xf borderId="4" fillId="0" fontId="16" numFmtId="165" xfId="0" applyAlignment="1" applyBorder="1" applyFont="1" applyNumberFormat="1">
      <alignment horizontal="center"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10" fillId="7" fontId="4" numFmtId="0" xfId="0" applyAlignment="1" applyBorder="1" applyFill="1" applyFont="1">
      <alignment horizontal="center" shrinkToFit="0" vertical="center" wrapText="1"/>
    </xf>
    <xf borderId="11" fillId="0" fontId="14" numFmtId="0" xfId="0" applyBorder="1" applyFont="1"/>
    <xf borderId="6" fillId="0" fontId="14" numFmtId="0" xfId="0" applyBorder="1" applyFont="1"/>
    <xf borderId="5" fillId="7" fontId="3" numFmtId="0" xfId="0" applyAlignment="1" applyBorder="1" applyFill="1" applyFont="1">
      <alignment vertical="center"/>
    </xf>
    <xf borderId="5" fillId="7" fontId="4" numFmtId="164" xfId="0" applyAlignment="1" applyBorder="1" applyFill="1" applyFont="1" applyNumberFormat="1">
      <alignment horizontal="center" shrinkToFit="0" vertical="center" wrapText="1"/>
    </xf>
    <xf borderId="7" fillId="7" fontId="4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vertical="center"/>
    </xf>
    <xf borderId="4" fillId="7" fontId="4" numFmtId="164" xfId="0" applyAlignment="1" applyBorder="1" applyFill="1" applyFont="1" applyNumberFormat="1">
      <alignment horizontal="center" shrinkToFit="0" vertical="center" wrapText="1"/>
    </xf>
    <xf borderId="0" fillId="3" fontId="1" numFmtId="0" xfId="0" applyAlignment="1" applyFill="1" applyFont="1">
      <alignment horizontal="center" shrinkToFit="0" wrapText="1"/>
    </xf>
    <xf borderId="2" fillId="4" fontId="4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3" numFmtId="165" xfId="0" applyAlignment="1" applyFont="1" applyNumberFormat="1">
      <alignment horizontal="right" shrinkToFit="0" vertical="center" wrapText="1"/>
    </xf>
    <xf borderId="0" fillId="0" fontId="3" numFmtId="173" xfId="0" applyAlignment="1" applyFont="1" applyNumberFormat="1">
      <alignment vertical="center"/>
    </xf>
    <xf borderId="0" fillId="0" fontId="3" numFmtId="174" xfId="0" applyAlignment="1" applyFont="1" applyNumberFormat="1">
      <alignment horizontal="righ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right" shrinkToFit="0" vertical="center" wrapText="1"/>
    </xf>
    <xf borderId="0" fillId="2" fontId="17" numFmtId="0" xfId="0" applyAlignment="1" applyFill="1" applyFont="1">
      <alignment horizontal="left" shrinkToFit="0" vertical="top" wrapText="1"/>
    </xf>
    <xf borderId="12" fillId="4" fontId="18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2" fontId="20" numFmtId="0" xfId="0" applyAlignment="1" applyFill="1" applyFont="1">
      <alignment horizontal="center" shrinkToFit="0" vertical="center" wrapText="1"/>
    </xf>
    <xf borderId="0" fillId="2" fontId="21" numFmtId="0" xfId="0" applyAlignment="1" applyFill="1" applyFont="1">
      <alignment readingOrder="0" vertical="bottom"/>
    </xf>
    <xf borderId="0" fillId="6" fontId="22" numFmtId="0" xfId="0" applyAlignment="1" applyFill="1" applyFont="1">
      <alignment horizontal="center" shrinkToFit="0" wrapText="1"/>
    </xf>
    <xf borderId="0" fillId="3" fontId="3" numFmtId="0" xfId="0" applyAlignment="1" applyFill="1" applyFont="1">
      <alignment horizontal="center" readingOrder="0" shrinkToFit="0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4" fontId="4" numFmtId="171" xfId="0" applyAlignment="1" applyBorder="1" applyFill="1" applyFont="1" applyNumberFormat="1">
      <alignment horizontal="center" readingOrder="0" shrinkToFit="0" vertical="center" wrapText="1"/>
    </xf>
    <xf borderId="4" fillId="6" fontId="2" numFmtId="0" xfId="0" applyAlignment="1" applyBorder="1" applyFill="1" applyFont="1">
      <alignment horizontal="center" readingOrder="0" shrinkToFit="0" vertical="center" wrapText="1"/>
    </xf>
    <xf borderId="4" fillId="6" fontId="2" numFmtId="171" xfId="0" applyAlignment="1" applyBorder="1" applyFill="1" applyFont="1" applyNumberFormat="1">
      <alignment horizontal="center" readingOrder="0" shrinkToFit="0" vertical="center" wrapText="1"/>
    </xf>
    <xf borderId="4" fillId="6" fontId="2" numFmtId="171" xfId="0" applyAlignment="1" applyBorder="1" applyFill="1" applyFont="1" applyNumberFormat="1">
      <alignment horizontal="center" shrinkToFit="0" vertical="center" wrapText="1"/>
    </xf>
    <xf borderId="4" fillId="6" fontId="2" numFmtId="10" xfId="0" applyAlignment="1" applyBorder="1" applyFill="1" applyFont="1" applyNumberFormat="1">
      <alignment horizontal="center" readingOrder="0" shrinkToFit="0" vertical="center" wrapText="1"/>
    </xf>
    <xf borderId="4" fillId="6" fontId="2" numFmtId="10" xfId="0" applyAlignment="1" applyBorder="1" applyFill="1" applyFont="1" applyNumberFormat="1">
      <alignment horizontal="center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4" fillId="3" fontId="24" numFmtId="0" xfId="0" applyAlignment="1" applyBorder="1" applyFill="1" applyFont="1">
      <alignment horizontal="center" shrinkToFit="0" vertical="center" wrapText="1"/>
    </xf>
    <xf borderId="4" fillId="3" fontId="12" numFmtId="0" xfId="0" applyAlignment="1" applyBorder="1" applyFill="1" applyFont="1">
      <alignment horizontal="center" shrinkToFit="0" vertical="center" wrapText="1"/>
    </xf>
    <xf borderId="4" fillId="3" fontId="24" numFmtId="171" xfId="0" applyAlignment="1" applyBorder="1" applyFill="1" applyFont="1" applyNumberFormat="1">
      <alignment horizontal="center" shrinkToFit="0" vertical="center" wrapText="1"/>
    </xf>
    <xf borderId="4" fillId="3" fontId="24" numFmtId="10" xfId="0" applyAlignment="1" applyBorder="1" applyFill="1" applyFont="1" applyNumberFormat="1">
      <alignment horizontal="center" shrinkToFit="0" vertical="center" wrapText="1"/>
    </xf>
    <xf borderId="4" fillId="3" fontId="24" numFmtId="172" xfId="0" applyAlignment="1" applyBorder="1" applyFill="1" applyFont="1" applyNumberForma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8" fontId="24" numFmtId="0" xfId="0" applyAlignment="1" applyBorder="1" applyFill="1" applyFont="1">
      <alignment horizontal="center" shrinkToFit="0" vertical="center" wrapText="1"/>
    </xf>
    <xf borderId="4" fillId="8" fontId="12" numFmtId="0" xfId="0" applyAlignment="1" applyBorder="1" applyFill="1" applyFont="1">
      <alignment horizontal="center" shrinkToFit="0" vertical="center" wrapText="1"/>
    </xf>
    <xf borderId="4" fillId="8" fontId="24" numFmtId="171" xfId="0" applyAlignment="1" applyBorder="1" applyFill="1" applyFont="1" applyNumberFormat="1">
      <alignment horizontal="center" shrinkToFit="0" vertical="center" wrapText="1"/>
    </xf>
    <xf borderId="4" fillId="8" fontId="24" numFmtId="10" xfId="0" applyAlignment="1" applyBorder="1" applyFill="1" applyFont="1" applyNumberFormat="1">
      <alignment horizontal="center" shrinkToFit="0" vertical="center" wrapText="1"/>
    </xf>
    <xf borderId="4" fillId="6" fontId="2" numFmtId="0" xfId="0" applyAlignment="1" applyBorder="1" applyFill="1" applyFont="1">
      <alignment shrinkToFit="0" vertical="top" wrapText="1"/>
    </xf>
    <xf borderId="0" fillId="2" fontId="25" numFmtId="0" xfId="0" applyAlignment="1" applyFill="1" applyFont="1">
      <alignment horizontal="left" shrinkToFit="0" wrapText="1"/>
    </xf>
    <xf borderId="0" fillId="8" fontId="3" numFmtId="165" xfId="0" applyAlignment="1" applyFill="1" applyFont="1" applyNumberFormat="1">
      <alignment horizontal="center" shrinkToFit="0" vertical="center" wrapText="1"/>
    </xf>
    <xf borderId="0" fillId="8" fontId="3" numFmtId="164" xfId="0" applyAlignment="1" applyFill="1" applyFont="1" applyNumberForma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0" fillId="0" fontId="3" numFmtId="175" xfId="0" applyAlignment="1" applyFont="1" applyNumberFormat="1">
      <alignment horizontal="center" shrinkToFit="0" vertical="center" wrapText="1"/>
    </xf>
    <xf borderId="0" fillId="8" fontId="26" numFmtId="0" xfId="0" applyAlignment="1" applyFill="1" applyFont="1">
      <alignment horizontal="center" shrinkToFit="0" vertical="center" wrapText="1"/>
    </xf>
    <xf borderId="0" fillId="0" fontId="23" numFmtId="0" xfId="0" applyAlignment="1" applyFont="1">
      <alignment horizontal="center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vertical="bottom"/>
    </xf>
    <xf borderId="2" fillId="4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8" fontId="28" numFmtId="0" xfId="0" applyAlignment="1" applyFill="1" applyFont="1">
      <alignment horizontal="center" shrinkToFit="0" vertical="center" wrapText="1"/>
    </xf>
    <xf borderId="0" fillId="2" fontId="25" numFmtId="0" xfId="0" applyAlignment="1" applyFill="1" applyFont="1">
      <alignment shrinkToFit="0" wrapText="1"/>
    </xf>
    <xf borderId="0" fillId="0" fontId="2" numFmtId="0" xfId="0" applyAlignment="1" applyFont="1">
      <alignment horizontal="right" shrinkToFit="0" vertical="center" wrapText="1"/>
    </xf>
    <xf borderId="0" fillId="0" fontId="27" numFmtId="164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3" max="13" width="18.88"/>
  </cols>
  <sheetData>
    <row r="1">
      <c r="A1" s="1" t="s">
        <v>0</v>
      </c>
      <c r="J1" s="2"/>
      <c r="K1" s="2"/>
      <c r="L1" s="2"/>
      <c r="M1" s="2"/>
      <c r="N1" s="2"/>
      <c r="O1" s="2"/>
      <c r="P1" s="3"/>
      <c r="Q1" s="3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 t="s">
        <v>4</v>
      </c>
      <c r="D4" s="9" t="s">
        <v>10</v>
      </c>
      <c r="G4" s="9" t="s">
        <v>12</v>
      </c>
      <c r="J4" s="9" t="s">
        <v>13</v>
      </c>
      <c r="M4" s="9" t="s">
        <v>14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1">
        <f>'Monthly Burn'!B30</f>
        <v>12.48703395</v>
      </c>
      <c r="D5" s="26">
        <f>Assumptions!B4</f>
        <v>18</v>
      </c>
      <c r="G5" s="26">
        <f>Assumptions!B7</f>
        <v>40</v>
      </c>
      <c r="J5" s="21">
        <f>'Hiring Plan'!B34</f>
        <v>37.85</v>
      </c>
      <c r="M5" s="21">
        <f>'Monthly Burn'!L21</f>
        <v>76.91449634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1"/>
      <c r="B6" s="31"/>
      <c r="C6" s="31"/>
      <c r="D6" s="32"/>
      <c r="E6" s="32"/>
      <c r="F6" s="32"/>
      <c r="G6" s="33"/>
      <c r="H6" s="33"/>
      <c r="I6" s="33"/>
      <c r="J6" s="34"/>
      <c r="K6" s="34"/>
      <c r="L6" s="34"/>
      <c r="M6" s="32"/>
      <c r="N6" s="32"/>
      <c r="O6" s="32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1"/>
      <c r="B7" s="31"/>
      <c r="C7" s="31"/>
      <c r="D7" s="32"/>
      <c r="E7" s="32"/>
      <c r="F7" s="32"/>
      <c r="G7" s="33"/>
      <c r="H7" s="33"/>
      <c r="I7" s="33"/>
      <c r="J7" s="34"/>
      <c r="K7" s="34"/>
      <c r="L7" s="34"/>
      <c r="M7" s="32"/>
      <c r="N7" s="32"/>
      <c r="O7" s="32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 t="s">
        <v>68</v>
      </c>
      <c r="D8" s="9" t="s">
        <v>59</v>
      </c>
      <c r="G8" s="9" t="s">
        <v>73</v>
      </c>
      <c r="J8" s="9" t="s">
        <v>75</v>
      </c>
      <c r="M8" s="9" t="s">
        <v>76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1">
        <f>'Monthly Burn'!B26/100</f>
        <v>11.1044946</v>
      </c>
      <c r="D9" s="21">
        <f>'Monthly Burn'!B28/100</f>
        <v>1.332539352</v>
      </c>
      <c r="G9" s="21">
        <f>'Business model'!D16/100</f>
        <v>0.7605</v>
      </c>
      <c r="J9" s="39">
        <f>'Business model'!D18</f>
        <v>0.06848578234</v>
      </c>
      <c r="M9" s="21">
        <f>valuation!B7</f>
        <v>49.9481358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3" t="s">
        <v>125</v>
      </c>
      <c r="G12" s="32"/>
      <c r="H12" s="43" t="s">
        <v>126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6" t="s">
        <v>131</v>
      </c>
      <c r="G13" s="32"/>
      <c r="H13" s="47" t="s">
        <v>134</v>
      </c>
      <c r="I13" s="47" t="s">
        <v>138</v>
      </c>
      <c r="J13" s="47" t="s">
        <v>139</v>
      </c>
      <c r="K13" s="47" t="s">
        <v>140</v>
      </c>
      <c r="L13" s="49" t="s">
        <v>141</v>
      </c>
      <c r="M13" s="50" t="s">
        <v>144</v>
      </c>
      <c r="N13" s="51"/>
      <c r="O13" s="5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G14" s="32"/>
      <c r="H14" s="46" t="s">
        <v>148</v>
      </c>
      <c r="I14" s="46" t="s">
        <v>149</v>
      </c>
      <c r="J14" s="46" t="s">
        <v>150</v>
      </c>
      <c r="K14" s="46" t="s">
        <v>152</v>
      </c>
      <c r="L14" s="52" t="s">
        <v>153</v>
      </c>
      <c r="M14" s="54">
        <f>'Funding Tranches'!D4</f>
        <v>274.14</v>
      </c>
      <c r="N14" s="46"/>
      <c r="O14" s="4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G15" s="32"/>
      <c r="H15" s="46" t="s">
        <v>166</v>
      </c>
      <c r="I15" s="46" t="s">
        <v>167</v>
      </c>
      <c r="J15" s="46" t="s">
        <v>169</v>
      </c>
      <c r="K15" s="46" t="s">
        <v>171</v>
      </c>
      <c r="L15" s="52" t="s">
        <v>174</v>
      </c>
      <c r="M15" s="54">
        <f>'Funding Tranches'!D5</f>
        <v>527.24</v>
      </c>
      <c r="N15" s="46"/>
      <c r="O15" s="4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G16" s="32"/>
      <c r="H16" s="46" t="s">
        <v>183</v>
      </c>
      <c r="I16" s="46" t="s">
        <v>184</v>
      </c>
      <c r="J16" s="46" t="s">
        <v>185</v>
      </c>
      <c r="K16" s="46" t="s">
        <v>186</v>
      </c>
      <c r="L16" s="52" t="s">
        <v>187</v>
      </c>
      <c r="M16" s="54">
        <f>'Funding Tranches'!D6</f>
        <v>447.62</v>
      </c>
      <c r="N16" s="46"/>
      <c r="O16" s="4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2"/>
      <c r="B17" s="32"/>
      <c r="C17" s="32"/>
      <c r="D17" s="32"/>
      <c r="E17" s="32"/>
      <c r="F17" s="32"/>
      <c r="G17" s="32"/>
      <c r="H17" s="46" t="s">
        <v>195</v>
      </c>
      <c r="I17" s="46" t="s">
        <v>196</v>
      </c>
      <c r="J17" s="46" t="s">
        <v>197</v>
      </c>
      <c r="K17" s="46" t="s">
        <v>198</v>
      </c>
      <c r="L17" s="52"/>
      <c r="M17" s="56"/>
      <c r="N17" s="46"/>
      <c r="O17" s="4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3" t="s">
        <v>204</v>
      </c>
      <c r="G19" s="32"/>
      <c r="H19" s="32"/>
      <c r="I19" s="32"/>
      <c r="J19" s="32"/>
      <c r="K19" s="32"/>
      <c r="L19" s="32"/>
      <c r="M19" s="32"/>
      <c r="N19" s="32"/>
      <c r="O19" s="32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8" t="s">
        <v>212</v>
      </c>
      <c r="B20" s="58" t="s">
        <v>215</v>
      </c>
      <c r="C20" s="58" t="s">
        <v>45</v>
      </c>
      <c r="D20" s="58" t="s">
        <v>216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6" t="s">
        <v>219</v>
      </c>
      <c r="B21" s="60">
        <f>'Monthly Burn'!B32</f>
        <v>76.91449634</v>
      </c>
      <c r="C21" s="46" t="s">
        <v>86</v>
      </c>
      <c r="D21" s="46" t="s">
        <v>222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6" t="s">
        <v>224</v>
      </c>
      <c r="B22" s="60">
        <f>'Monthly Burn'!B31</f>
        <v>61.96941443</v>
      </c>
      <c r="C22" s="46" t="s">
        <v>86</v>
      </c>
      <c r="D22" s="46" t="s">
        <v>225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6" t="s">
        <v>226</v>
      </c>
      <c r="B23" s="60">
        <f>'Monthly Burn'!B27</f>
        <v>5</v>
      </c>
      <c r="C23" s="46" t="s">
        <v>86</v>
      </c>
      <c r="D23" s="46" t="s">
        <v>228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6" t="s">
        <v>143</v>
      </c>
      <c r="B24" s="64">
        <f>valuation!B6</f>
        <v>0.2</v>
      </c>
      <c r="C24" s="46" t="s">
        <v>67</v>
      </c>
      <c r="D24" s="46" t="s">
        <v>232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5">
    <mergeCell ref="J5:L5"/>
    <mergeCell ref="M5:O5"/>
    <mergeCell ref="A1:I1"/>
    <mergeCell ref="A4:C4"/>
    <mergeCell ref="D4:F4"/>
    <mergeCell ref="G4:I4"/>
    <mergeCell ref="J4:L4"/>
    <mergeCell ref="M4:O4"/>
    <mergeCell ref="A5:C5"/>
    <mergeCell ref="D5:F5"/>
    <mergeCell ref="G5:I5"/>
    <mergeCell ref="A8:C8"/>
    <mergeCell ref="D8:F8"/>
    <mergeCell ref="G8:I8"/>
    <mergeCell ref="J8:L8"/>
    <mergeCell ref="M8:O8"/>
    <mergeCell ref="A13:F16"/>
    <mergeCell ref="A19:F19"/>
    <mergeCell ref="A9:C9"/>
    <mergeCell ref="D9:F9"/>
    <mergeCell ref="G9:I9"/>
    <mergeCell ref="J9:L9"/>
    <mergeCell ref="M9:O9"/>
    <mergeCell ref="A12:F12"/>
    <mergeCell ref="H12:O1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1</v>
      </c>
      <c r="AB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8" t="s">
        <v>3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11</v>
      </c>
      <c r="H3" s="8">
        <v>1.0</v>
      </c>
      <c r="I3" s="8">
        <v>2.0</v>
      </c>
      <c r="J3" s="8">
        <v>3.0</v>
      </c>
      <c r="K3" s="8">
        <v>4.0</v>
      </c>
      <c r="L3" s="8">
        <v>5.0</v>
      </c>
      <c r="M3" s="8">
        <v>6.0</v>
      </c>
      <c r="N3" s="8">
        <v>7.0</v>
      </c>
      <c r="O3" s="8">
        <v>8.0</v>
      </c>
      <c r="P3" s="8">
        <v>9.0</v>
      </c>
      <c r="Q3" s="8">
        <v>10.0</v>
      </c>
      <c r="R3" s="8">
        <v>11.0</v>
      </c>
      <c r="S3" s="8">
        <v>12.0</v>
      </c>
      <c r="T3" s="8">
        <v>13.0</v>
      </c>
      <c r="U3" s="8">
        <v>14.0</v>
      </c>
      <c r="V3" s="8">
        <v>15.0</v>
      </c>
      <c r="W3" s="8">
        <v>16.0</v>
      </c>
      <c r="X3" s="8">
        <v>17.0</v>
      </c>
      <c r="Y3" s="8">
        <v>18.0</v>
      </c>
      <c r="Z3" s="8" t="s">
        <v>16</v>
      </c>
      <c r="AA3" s="11" t="s">
        <v>17</v>
      </c>
      <c r="AB3" s="12"/>
    </row>
    <row r="4">
      <c r="A4" s="13" t="s">
        <v>26</v>
      </c>
      <c r="B4" s="14"/>
      <c r="C4" s="16"/>
      <c r="D4" s="14"/>
      <c r="E4" s="14"/>
      <c r="F4" s="14"/>
      <c r="G4" s="18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22"/>
      <c r="AB4" s="12"/>
    </row>
    <row r="5">
      <c r="A5" s="24"/>
      <c r="B5" s="25" t="s">
        <v>27</v>
      </c>
      <c r="C5" s="27">
        <v>1.25</v>
      </c>
      <c r="D5" s="29" t="s">
        <v>31</v>
      </c>
      <c r="E5" s="25">
        <v>1.0</v>
      </c>
      <c r="F5" s="25" t="s">
        <v>36</v>
      </c>
      <c r="G5" s="30">
        <v>0.0</v>
      </c>
      <c r="H5" s="27">
        <v>1.25</v>
      </c>
      <c r="I5" s="27">
        <v>1.25</v>
      </c>
      <c r="J5" s="27">
        <v>1.25</v>
      </c>
      <c r="K5" s="27">
        <v>1.25</v>
      </c>
      <c r="L5" s="27">
        <v>1.25</v>
      </c>
      <c r="M5" s="27">
        <v>1.25</v>
      </c>
      <c r="N5" s="27">
        <v>1.25</v>
      </c>
      <c r="O5" s="27">
        <v>1.25</v>
      </c>
      <c r="P5" s="27">
        <v>1.25</v>
      </c>
      <c r="Q5" s="27">
        <v>1.25</v>
      </c>
      <c r="R5" s="27">
        <v>1.25</v>
      </c>
      <c r="S5" s="27">
        <v>1.25</v>
      </c>
      <c r="T5" s="27">
        <v>1.25</v>
      </c>
      <c r="U5" s="27">
        <v>1.25</v>
      </c>
      <c r="V5" s="27">
        <v>1.25</v>
      </c>
      <c r="W5" s="27">
        <v>1.25</v>
      </c>
      <c r="X5" s="27">
        <v>1.25</v>
      </c>
      <c r="Y5" s="27">
        <v>1.25</v>
      </c>
      <c r="Z5" s="27">
        <f t="shared" ref="Z5:Z8" si="1">SUM(H5:Y5)</f>
        <v>22.5</v>
      </c>
      <c r="AA5" s="35"/>
      <c r="AB5" s="36"/>
    </row>
    <row r="6">
      <c r="A6" s="24"/>
      <c r="B6" s="25" t="s">
        <v>32</v>
      </c>
      <c r="C6" s="27">
        <v>1.25</v>
      </c>
      <c r="D6" s="29" t="s">
        <v>31</v>
      </c>
      <c r="E6" s="25">
        <v>1.0</v>
      </c>
      <c r="F6" s="25" t="s">
        <v>36</v>
      </c>
      <c r="G6" s="30">
        <v>0.0</v>
      </c>
      <c r="H6" s="27">
        <v>1.25</v>
      </c>
      <c r="I6" s="27">
        <v>1.25</v>
      </c>
      <c r="J6" s="27">
        <v>1.25</v>
      </c>
      <c r="K6" s="27">
        <v>1.25</v>
      </c>
      <c r="L6" s="27">
        <v>1.25</v>
      </c>
      <c r="M6" s="27">
        <v>1.25</v>
      </c>
      <c r="N6" s="27">
        <v>1.25</v>
      </c>
      <c r="O6" s="27">
        <v>1.25</v>
      </c>
      <c r="P6" s="27">
        <v>1.25</v>
      </c>
      <c r="Q6" s="27">
        <v>1.25</v>
      </c>
      <c r="R6" s="27">
        <v>1.25</v>
      </c>
      <c r="S6" s="27">
        <v>1.25</v>
      </c>
      <c r="T6" s="27">
        <v>1.25</v>
      </c>
      <c r="U6" s="27">
        <v>1.25</v>
      </c>
      <c r="V6" s="27">
        <v>1.25</v>
      </c>
      <c r="W6" s="27">
        <v>1.25</v>
      </c>
      <c r="X6" s="27">
        <v>1.25</v>
      </c>
      <c r="Y6" s="27">
        <v>1.25</v>
      </c>
      <c r="Z6" s="27">
        <f t="shared" si="1"/>
        <v>22.5</v>
      </c>
      <c r="AA6" s="35"/>
      <c r="AB6" s="36"/>
    </row>
    <row r="7">
      <c r="A7" s="24"/>
      <c r="B7" s="25" t="s">
        <v>34</v>
      </c>
      <c r="C7" s="27">
        <v>1.25</v>
      </c>
      <c r="D7" s="29" t="s">
        <v>31</v>
      </c>
      <c r="E7" s="25">
        <v>1.0</v>
      </c>
      <c r="F7" s="25" t="s">
        <v>36</v>
      </c>
      <c r="G7" s="30">
        <v>0.0</v>
      </c>
      <c r="H7" s="27">
        <v>1.25</v>
      </c>
      <c r="I7" s="27">
        <v>1.25</v>
      </c>
      <c r="J7" s="27">
        <v>1.25</v>
      </c>
      <c r="K7" s="27">
        <v>1.25</v>
      </c>
      <c r="L7" s="27">
        <v>1.25</v>
      </c>
      <c r="M7" s="27">
        <v>1.25</v>
      </c>
      <c r="N7" s="27">
        <v>1.25</v>
      </c>
      <c r="O7" s="27">
        <v>1.25</v>
      </c>
      <c r="P7" s="27">
        <v>1.25</v>
      </c>
      <c r="Q7" s="27">
        <v>1.25</v>
      </c>
      <c r="R7" s="27">
        <v>1.25</v>
      </c>
      <c r="S7" s="27">
        <v>1.25</v>
      </c>
      <c r="T7" s="27">
        <v>1.25</v>
      </c>
      <c r="U7" s="27">
        <v>1.25</v>
      </c>
      <c r="V7" s="27">
        <v>1.25</v>
      </c>
      <c r="W7" s="27">
        <v>1.25</v>
      </c>
      <c r="X7" s="27">
        <v>1.25</v>
      </c>
      <c r="Y7" s="27">
        <v>1.25</v>
      </c>
      <c r="Z7" s="27">
        <f t="shared" si="1"/>
        <v>22.5</v>
      </c>
      <c r="AA7" s="35"/>
      <c r="AB7" s="36"/>
    </row>
    <row r="8">
      <c r="A8" s="24"/>
      <c r="B8" s="25" t="s">
        <v>37</v>
      </c>
      <c r="C8" s="27">
        <v>1.5</v>
      </c>
      <c r="D8" s="29" t="s">
        <v>31</v>
      </c>
      <c r="E8" s="25">
        <v>1.0</v>
      </c>
      <c r="F8" s="25" t="s">
        <v>36</v>
      </c>
      <c r="G8" s="30">
        <v>0.0</v>
      </c>
      <c r="H8" s="27">
        <v>1.5</v>
      </c>
      <c r="I8" s="27">
        <v>1.5</v>
      </c>
      <c r="J8" s="27">
        <v>1.5</v>
      </c>
      <c r="K8" s="27">
        <v>1.5</v>
      </c>
      <c r="L8" s="27">
        <v>1.5</v>
      </c>
      <c r="M8" s="27">
        <v>1.5</v>
      </c>
      <c r="N8" s="27">
        <v>1.5</v>
      </c>
      <c r="O8" s="27">
        <v>1.5</v>
      </c>
      <c r="P8" s="27">
        <v>1.5</v>
      </c>
      <c r="Q8" s="27">
        <v>1.5</v>
      </c>
      <c r="R8" s="27">
        <v>1.5</v>
      </c>
      <c r="S8" s="27">
        <v>1.5</v>
      </c>
      <c r="T8" s="27">
        <v>1.5</v>
      </c>
      <c r="U8" s="27">
        <v>1.5</v>
      </c>
      <c r="V8" s="27">
        <v>1.5</v>
      </c>
      <c r="W8" s="27">
        <v>1.5</v>
      </c>
      <c r="X8" s="27">
        <v>1.5</v>
      </c>
      <c r="Y8" s="27">
        <v>1.5</v>
      </c>
      <c r="Z8" s="27">
        <f t="shared" si="1"/>
        <v>27</v>
      </c>
      <c r="AA8" s="35"/>
      <c r="AB8" s="36"/>
    </row>
    <row r="9">
      <c r="A9" s="40"/>
      <c r="B9" s="40"/>
      <c r="C9" s="41"/>
      <c r="D9" s="40"/>
      <c r="E9" s="40"/>
      <c r="F9" s="40"/>
      <c r="G9" s="42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4">
        <f>SUM(Z5:Z8)</f>
        <v>94.5</v>
      </c>
      <c r="AB9" s="12"/>
    </row>
    <row r="10">
      <c r="A10" s="13" t="s">
        <v>128</v>
      </c>
      <c r="B10" s="14"/>
      <c r="C10" s="16"/>
      <c r="D10" s="14"/>
      <c r="E10" s="14"/>
      <c r="F10" s="14"/>
      <c r="G10" s="18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22"/>
      <c r="AB10" s="12"/>
    </row>
    <row r="11">
      <c r="A11" s="24"/>
      <c r="B11" s="25" t="s">
        <v>133</v>
      </c>
      <c r="C11" s="27">
        <v>0.1</v>
      </c>
      <c r="D11" s="29" t="s">
        <v>135</v>
      </c>
      <c r="E11" s="25">
        <v>3.0</v>
      </c>
      <c r="F11" s="25" t="s">
        <v>36</v>
      </c>
      <c r="G11" s="30">
        <v>0.0</v>
      </c>
      <c r="H11" s="27">
        <f t="shared" ref="H11:I11" si="2">IF($F11="Recurring",IF(H$2&gt;=$E11,$C11*(1+$G11)^FLOOR((H$2-$E11)/3,1),0),IF(H$2=$E11,$C11,0))</f>
        <v>0</v>
      </c>
      <c r="I11" s="27">
        <f t="shared" si="2"/>
        <v>0</v>
      </c>
      <c r="J11" s="27">
        <v>0.1</v>
      </c>
      <c r="K11" s="27">
        <v>0.1</v>
      </c>
      <c r="L11" s="27">
        <v>0.1</v>
      </c>
      <c r="M11" s="27">
        <v>0.1</v>
      </c>
      <c r="N11" s="27">
        <v>0.1</v>
      </c>
      <c r="O11" s="27">
        <v>0.1</v>
      </c>
      <c r="P11" s="27">
        <v>0.1</v>
      </c>
      <c r="Q11" s="27">
        <v>0.1</v>
      </c>
      <c r="R11" s="27">
        <v>0.1</v>
      </c>
      <c r="S11" s="27">
        <v>0.1</v>
      </c>
      <c r="T11" s="27">
        <v>0.1</v>
      </c>
      <c r="U11" s="27">
        <v>0.1</v>
      </c>
      <c r="V11" s="27">
        <v>0.1</v>
      </c>
      <c r="W11" s="27">
        <v>0.1</v>
      </c>
      <c r="X11" s="27">
        <v>0.1</v>
      </c>
      <c r="Y11" s="27">
        <v>0.1</v>
      </c>
      <c r="Z11" s="27">
        <f t="shared" ref="Z11:Z13" si="4">SUM(H11:Y11)</f>
        <v>1.6</v>
      </c>
      <c r="AA11" s="35"/>
      <c r="AB11" s="36"/>
    </row>
    <row r="12">
      <c r="A12" s="24"/>
      <c r="B12" s="25" t="s">
        <v>176</v>
      </c>
      <c r="C12" s="27">
        <v>0.1</v>
      </c>
      <c r="D12" s="29" t="s">
        <v>135</v>
      </c>
      <c r="E12" s="25">
        <v>3.0</v>
      </c>
      <c r="F12" s="25" t="s">
        <v>36</v>
      </c>
      <c r="G12" s="30">
        <v>0.0</v>
      </c>
      <c r="H12" s="27">
        <f t="shared" ref="H12:I12" si="3">IF($F12="Recurring",IF(H$2&gt;=$E12,$C12*(1+$G12)^FLOOR((H$2-$E12)/3,1),0),IF(H$2=$E12,$C12,0))</f>
        <v>0</v>
      </c>
      <c r="I12" s="27">
        <f t="shared" si="3"/>
        <v>0</v>
      </c>
      <c r="J12" s="27">
        <v>0.1</v>
      </c>
      <c r="K12" s="27">
        <v>0.1</v>
      </c>
      <c r="L12" s="27">
        <v>0.1</v>
      </c>
      <c r="M12" s="27">
        <v>0.1</v>
      </c>
      <c r="N12" s="27">
        <v>0.1</v>
      </c>
      <c r="O12" s="27">
        <v>0.1</v>
      </c>
      <c r="P12" s="27">
        <v>0.1</v>
      </c>
      <c r="Q12" s="27">
        <v>0.1</v>
      </c>
      <c r="R12" s="27">
        <v>0.1</v>
      </c>
      <c r="S12" s="27">
        <v>0.1</v>
      </c>
      <c r="T12" s="27">
        <v>0.1</v>
      </c>
      <c r="U12" s="27">
        <v>0.1</v>
      </c>
      <c r="V12" s="27">
        <v>0.1</v>
      </c>
      <c r="W12" s="27">
        <v>0.1</v>
      </c>
      <c r="X12" s="27">
        <v>0.1</v>
      </c>
      <c r="Y12" s="27">
        <v>0.1</v>
      </c>
      <c r="Z12" s="27">
        <f t="shared" si="4"/>
        <v>1.6</v>
      </c>
      <c r="AA12" s="35"/>
      <c r="AB12" s="36"/>
    </row>
    <row r="13">
      <c r="A13" s="24"/>
      <c r="B13" s="25" t="s">
        <v>207</v>
      </c>
      <c r="C13" s="27">
        <v>0.1</v>
      </c>
      <c r="D13" s="29" t="s">
        <v>135</v>
      </c>
      <c r="E13" s="25">
        <v>3.0</v>
      </c>
      <c r="F13" s="25" t="s">
        <v>36</v>
      </c>
      <c r="G13" s="30">
        <v>0.0</v>
      </c>
      <c r="H13" s="27">
        <f t="shared" ref="H13:I13" si="5">IF($F13="Recurring",IF(H$2&gt;=$E13,$C13*(1+$G13)^FLOOR((H$2-$E13)/3,1),0),IF(H$2=$E13,$C13,0))</f>
        <v>0</v>
      </c>
      <c r="I13" s="27">
        <f t="shared" si="5"/>
        <v>0</v>
      </c>
      <c r="J13" s="27">
        <v>0.1</v>
      </c>
      <c r="K13" s="27">
        <v>0.1</v>
      </c>
      <c r="L13" s="27">
        <v>0.1</v>
      </c>
      <c r="M13" s="27">
        <v>0.1</v>
      </c>
      <c r="N13" s="27">
        <v>0.1</v>
      </c>
      <c r="O13" s="27">
        <v>0.1</v>
      </c>
      <c r="P13" s="27">
        <v>0.1</v>
      </c>
      <c r="Q13" s="27">
        <v>0.1</v>
      </c>
      <c r="R13" s="27">
        <v>0.1</v>
      </c>
      <c r="S13" s="27">
        <v>0.1</v>
      </c>
      <c r="T13" s="27">
        <v>0.1</v>
      </c>
      <c r="U13" s="27">
        <v>0.1</v>
      </c>
      <c r="V13" s="27">
        <v>0.1</v>
      </c>
      <c r="W13" s="27">
        <v>0.1</v>
      </c>
      <c r="X13" s="27">
        <v>0.1</v>
      </c>
      <c r="Y13" s="27">
        <v>0.1</v>
      </c>
      <c r="Z13" s="27">
        <f t="shared" si="4"/>
        <v>1.6</v>
      </c>
      <c r="AA13" s="35"/>
      <c r="AB13" s="36"/>
    </row>
    <row r="14">
      <c r="A14" s="40"/>
      <c r="B14" s="40"/>
      <c r="C14" s="41"/>
      <c r="D14" s="40"/>
      <c r="E14" s="40"/>
      <c r="F14" s="40"/>
      <c r="G14" s="42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4">
        <f>SUM(Z11:Z13)</f>
        <v>4.8</v>
      </c>
      <c r="AB14" s="12"/>
    </row>
    <row r="15">
      <c r="A15" s="13" t="s">
        <v>227</v>
      </c>
      <c r="B15" s="14"/>
      <c r="C15" s="16"/>
      <c r="D15" s="14"/>
      <c r="E15" s="14"/>
      <c r="F15" s="14"/>
      <c r="G15" s="18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22"/>
      <c r="AB15" s="12"/>
    </row>
    <row r="16">
      <c r="A16" s="24"/>
      <c r="B16" s="25" t="s">
        <v>229</v>
      </c>
      <c r="C16" s="27">
        <v>1.0</v>
      </c>
      <c r="D16" s="29" t="s">
        <v>230</v>
      </c>
      <c r="E16" s="25">
        <v>1.0</v>
      </c>
      <c r="F16" s="25" t="s">
        <v>36</v>
      </c>
      <c r="G16" s="30">
        <v>0.12</v>
      </c>
      <c r="H16" s="27">
        <v>1.0</v>
      </c>
      <c r="I16" s="27">
        <v>1.0</v>
      </c>
      <c r="J16" s="27">
        <v>1.0</v>
      </c>
      <c r="K16" s="27">
        <v>1.12</v>
      </c>
      <c r="L16" s="27">
        <v>1.12</v>
      </c>
      <c r="M16" s="27">
        <v>1.12</v>
      </c>
      <c r="N16" s="27">
        <v>1.25</v>
      </c>
      <c r="O16" s="27">
        <v>1.25</v>
      </c>
      <c r="P16" s="27">
        <v>1.25</v>
      </c>
      <c r="Q16" s="27">
        <v>1.4</v>
      </c>
      <c r="R16" s="27">
        <v>1.4</v>
      </c>
      <c r="S16" s="27">
        <v>1.4</v>
      </c>
      <c r="T16" s="27">
        <v>1.57</v>
      </c>
      <c r="U16" s="27">
        <v>1.57</v>
      </c>
      <c r="V16" s="27">
        <v>1.57</v>
      </c>
      <c r="W16" s="27">
        <v>1.76</v>
      </c>
      <c r="X16" s="27">
        <v>1.76</v>
      </c>
      <c r="Y16" s="27">
        <v>1.76</v>
      </c>
      <c r="Z16" s="27">
        <f t="shared" ref="Z16:Z31" si="6">SUM(H16:Y16)</f>
        <v>24.3</v>
      </c>
      <c r="AA16" s="35"/>
      <c r="AB16" s="36"/>
    </row>
    <row r="17">
      <c r="A17" s="24"/>
      <c r="B17" s="25" t="s">
        <v>40</v>
      </c>
      <c r="C17" s="27">
        <v>1.0</v>
      </c>
      <c r="D17" s="29" t="s">
        <v>44</v>
      </c>
      <c r="E17" s="25">
        <v>5.0</v>
      </c>
      <c r="F17" s="25" t="s">
        <v>36</v>
      </c>
      <c r="G17" s="30">
        <v>0.0</v>
      </c>
      <c r="H17" s="27">
        <v>0.0</v>
      </c>
      <c r="I17" s="27">
        <v>0.0</v>
      </c>
      <c r="J17" s="27">
        <v>0.0</v>
      </c>
      <c r="K17" s="27">
        <v>0.0</v>
      </c>
      <c r="L17" s="27">
        <v>1.0</v>
      </c>
      <c r="M17" s="27">
        <v>1.0</v>
      </c>
      <c r="N17" s="27">
        <v>1.0</v>
      </c>
      <c r="O17" s="27">
        <v>1.0</v>
      </c>
      <c r="P17" s="27">
        <v>1.0</v>
      </c>
      <c r="Q17" s="27">
        <v>1.0</v>
      </c>
      <c r="R17" s="27">
        <v>1.0</v>
      </c>
      <c r="S17" s="27">
        <v>1.0</v>
      </c>
      <c r="T17" s="27">
        <v>1.0</v>
      </c>
      <c r="U17" s="27">
        <v>1.0</v>
      </c>
      <c r="V17" s="27">
        <v>1.0</v>
      </c>
      <c r="W17" s="27">
        <v>1.0</v>
      </c>
      <c r="X17" s="27">
        <v>1.0</v>
      </c>
      <c r="Y17" s="27">
        <v>1.0</v>
      </c>
      <c r="Z17" s="27">
        <f t="shared" si="6"/>
        <v>14</v>
      </c>
      <c r="AA17" s="35"/>
      <c r="AB17" s="36"/>
    </row>
    <row r="18">
      <c r="A18" s="24"/>
      <c r="B18" s="25" t="s">
        <v>49</v>
      </c>
      <c r="C18" s="27">
        <v>1.5</v>
      </c>
      <c r="D18" s="29" t="s">
        <v>52</v>
      </c>
      <c r="E18" s="25">
        <v>1.0</v>
      </c>
      <c r="F18" s="25" t="s">
        <v>36</v>
      </c>
      <c r="G18" s="30">
        <v>0.0</v>
      </c>
      <c r="H18" s="27">
        <v>1.5</v>
      </c>
      <c r="I18" s="27">
        <v>1.5</v>
      </c>
      <c r="J18" s="27">
        <v>1.5</v>
      </c>
      <c r="K18" s="27">
        <v>1.5</v>
      </c>
      <c r="L18" s="27">
        <v>1.5</v>
      </c>
      <c r="M18" s="27">
        <v>1.5</v>
      </c>
      <c r="N18" s="27">
        <v>1.5</v>
      </c>
      <c r="O18" s="27">
        <v>1.5</v>
      </c>
      <c r="P18" s="27">
        <v>1.5</v>
      </c>
      <c r="Q18" s="27">
        <v>1.5</v>
      </c>
      <c r="R18" s="27">
        <v>1.5</v>
      </c>
      <c r="S18" s="27">
        <v>1.5</v>
      </c>
      <c r="T18" s="27">
        <v>1.5</v>
      </c>
      <c r="U18" s="27">
        <v>1.5</v>
      </c>
      <c r="V18" s="27">
        <v>1.5</v>
      </c>
      <c r="W18" s="27">
        <v>1.5</v>
      </c>
      <c r="X18" s="27">
        <v>1.5</v>
      </c>
      <c r="Y18" s="27">
        <v>1.5</v>
      </c>
      <c r="Z18" s="27">
        <f t="shared" si="6"/>
        <v>27</v>
      </c>
      <c r="AA18" s="35"/>
      <c r="AB18" s="36"/>
    </row>
    <row r="19">
      <c r="A19" s="24"/>
      <c r="B19" s="25" t="s">
        <v>57</v>
      </c>
      <c r="C19" s="27">
        <v>1.5</v>
      </c>
      <c r="D19" s="29" t="s">
        <v>52</v>
      </c>
      <c r="E19" s="25">
        <v>1.0</v>
      </c>
      <c r="F19" s="25" t="s">
        <v>36</v>
      </c>
      <c r="G19" s="30">
        <v>0.0</v>
      </c>
      <c r="H19" s="27">
        <v>1.5</v>
      </c>
      <c r="I19" s="27">
        <v>1.5</v>
      </c>
      <c r="J19" s="27">
        <v>1.5</v>
      </c>
      <c r="K19" s="27">
        <v>1.5</v>
      </c>
      <c r="L19" s="27">
        <v>1.5</v>
      </c>
      <c r="M19" s="27">
        <v>1.5</v>
      </c>
      <c r="N19" s="27">
        <v>1.5</v>
      </c>
      <c r="O19" s="27">
        <v>1.5</v>
      </c>
      <c r="P19" s="27">
        <v>1.5</v>
      </c>
      <c r="Q19" s="27">
        <v>1.5</v>
      </c>
      <c r="R19" s="27">
        <v>1.5</v>
      </c>
      <c r="S19" s="27">
        <v>1.5</v>
      </c>
      <c r="T19" s="27">
        <v>1.5</v>
      </c>
      <c r="U19" s="27">
        <v>1.5</v>
      </c>
      <c r="V19" s="27">
        <v>1.5</v>
      </c>
      <c r="W19" s="27">
        <v>1.5</v>
      </c>
      <c r="X19" s="27">
        <v>1.5</v>
      </c>
      <c r="Y19" s="27">
        <v>1.5</v>
      </c>
      <c r="Z19" s="27">
        <f t="shared" si="6"/>
        <v>27</v>
      </c>
      <c r="AA19" s="35"/>
      <c r="AB19" s="36"/>
    </row>
    <row r="20">
      <c r="A20" s="24"/>
      <c r="B20" s="25" t="s">
        <v>235</v>
      </c>
      <c r="C20" s="27">
        <v>2.0</v>
      </c>
      <c r="D20" s="29" t="s">
        <v>65</v>
      </c>
      <c r="E20" s="25">
        <v>2.0</v>
      </c>
      <c r="F20" s="25" t="s">
        <v>36</v>
      </c>
      <c r="G20" s="30">
        <v>0.0</v>
      </c>
      <c r="H20" s="27">
        <f t="shared" ref="H20:H24" si="7">IF($F20="Recurring",IF(H$2&gt;=$E20,$C20*(1+$G20)^FLOOR((H$2-$E20)/3,1),0),IF(H$2=$E20,$C20,0))</f>
        <v>0</v>
      </c>
      <c r="I20" s="27">
        <v>2.0</v>
      </c>
      <c r="J20" s="27">
        <v>2.0</v>
      </c>
      <c r="K20" s="27">
        <v>2.0</v>
      </c>
      <c r="L20" s="27">
        <v>2.0</v>
      </c>
      <c r="M20" s="27">
        <v>2.0</v>
      </c>
      <c r="N20" s="27">
        <v>2.0</v>
      </c>
      <c r="O20" s="27">
        <v>2.0</v>
      </c>
      <c r="P20" s="27">
        <v>2.0</v>
      </c>
      <c r="Q20" s="27">
        <v>2.0</v>
      </c>
      <c r="R20" s="27">
        <v>2.0</v>
      </c>
      <c r="S20" s="27">
        <v>2.0</v>
      </c>
      <c r="T20" s="27">
        <v>2.0</v>
      </c>
      <c r="U20" s="27">
        <v>2.0</v>
      </c>
      <c r="V20" s="27">
        <v>2.0</v>
      </c>
      <c r="W20" s="27">
        <v>2.0</v>
      </c>
      <c r="X20" s="27">
        <v>2.0</v>
      </c>
      <c r="Y20" s="27">
        <v>2.0</v>
      </c>
      <c r="Z20" s="27">
        <f t="shared" si="6"/>
        <v>34</v>
      </c>
      <c r="AA20" s="35"/>
      <c r="AB20" s="36"/>
    </row>
    <row r="21">
      <c r="A21" s="24"/>
      <c r="B21" s="25" t="s">
        <v>236</v>
      </c>
      <c r="C21" s="27">
        <v>2.0</v>
      </c>
      <c r="D21" s="29" t="s">
        <v>237</v>
      </c>
      <c r="E21" s="25">
        <v>6.0</v>
      </c>
      <c r="F21" s="25" t="s">
        <v>36</v>
      </c>
      <c r="G21" s="30">
        <v>0.15</v>
      </c>
      <c r="H21" s="27">
        <f t="shared" si="7"/>
        <v>0</v>
      </c>
      <c r="I21" s="27">
        <f t="shared" ref="I21:L21" si="8">IF($F21="Recurring",IF(I$2&gt;=$E21,$C21*(1+$G21)^FLOOR((I$2-$E21)/3,1),0),IF(I$2=$E21,$C21,0))</f>
        <v>0</v>
      </c>
      <c r="J21" s="27">
        <f t="shared" si="8"/>
        <v>0</v>
      </c>
      <c r="K21" s="27">
        <f t="shared" si="8"/>
        <v>0</v>
      </c>
      <c r="L21" s="27">
        <f t="shared" si="8"/>
        <v>0</v>
      </c>
      <c r="M21" s="27">
        <v>2.0</v>
      </c>
      <c r="N21" s="27">
        <v>2.0</v>
      </c>
      <c r="O21" s="27">
        <v>2.0</v>
      </c>
      <c r="P21" s="27">
        <v>2.0</v>
      </c>
      <c r="Q21" s="27">
        <v>2.3</v>
      </c>
      <c r="R21" s="27">
        <v>2.3</v>
      </c>
      <c r="S21" s="27">
        <v>2.3</v>
      </c>
      <c r="T21" s="27">
        <v>2.65</v>
      </c>
      <c r="U21" s="27">
        <v>2.65</v>
      </c>
      <c r="V21" s="27">
        <v>2.65</v>
      </c>
      <c r="W21" s="27">
        <v>3.05</v>
      </c>
      <c r="X21" s="27">
        <v>3.05</v>
      </c>
      <c r="Y21" s="27">
        <v>3.05</v>
      </c>
      <c r="Z21" s="27">
        <f t="shared" si="6"/>
        <v>32</v>
      </c>
      <c r="AA21" s="35"/>
      <c r="AB21" s="36"/>
    </row>
    <row r="22">
      <c r="A22" s="24"/>
      <c r="B22" s="25" t="s">
        <v>238</v>
      </c>
      <c r="C22" s="27">
        <v>2.0</v>
      </c>
      <c r="D22" s="29" t="s">
        <v>65</v>
      </c>
      <c r="E22" s="25">
        <v>2.0</v>
      </c>
      <c r="F22" s="25" t="s">
        <v>36</v>
      </c>
      <c r="G22" s="30">
        <v>0.0</v>
      </c>
      <c r="H22" s="27">
        <f t="shared" si="7"/>
        <v>0</v>
      </c>
      <c r="I22" s="27">
        <v>2.0</v>
      </c>
      <c r="J22" s="27">
        <v>2.0</v>
      </c>
      <c r="K22" s="27">
        <v>2.0</v>
      </c>
      <c r="L22" s="27">
        <v>2.0</v>
      </c>
      <c r="M22" s="27">
        <v>2.0</v>
      </c>
      <c r="N22" s="27">
        <v>2.0</v>
      </c>
      <c r="O22" s="27">
        <v>2.0</v>
      </c>
      <c r="P22" s="27">
        <v>2.0</v>
      </c>
      <c r="Q22" s="27">
        <v>2.0</v>
      </c>
      <c r="R22" s="27">
        <v>2.0</v>
      </c>
      <c r="S22" s="27">
        <v>2.0</v>
      </c>
      <c r="T22" s="27">
        <v>2.0</v>
      </c>
      <c r="U22" s="27">
        <v>2.0</v>
      </c>
      <c r="V22" s="27">
        <v>2.0</v>
      </c>
      <c r="W22" s="27">
        <v>2.0</v>
      </c>
      <c r="X22" s="27">
        <v>2.0</v>
      </c>
      <c r="Y22" s="27">
        <v>2.0</v>
      </c>
      <c r="Z22" s="27">
        <f t="shared" si="6"/>
        <v>34</v>
      </c>
      <c r="AA22" s="35"/>
      <c r="AB22" s="36"/>
    </row>
    <row r="23">
      <c r="A23" s="24"/>
      <c r="B23" s="25" t="s">
        <v>62</v>
      </c>
      <c r="C23" s="27">
        <v>1.0</v>
      </c>
      <c r="D23" s="29" t="s">
        <v>65</v>
      </c>
      <c r="E23" s="25">
        <v>2.0</v>
      </c>
      <c r="F23" s="25" t="s">
        <v>36</v>
      </c>
      <c r="G23" s="30">
        <v>0.0</v>
      </c>
      <c r="H23" s="27">
        <f t="shared" si="7"/>
        <v>0</v>
      </c>
      <c r="I23" s="27">
        <v>1.0</v>
      </c>
      <c r="J23" s="27">
        <v>1.0</v>
      </c>
      <c r="K23" s="27">
        <v>1.0</v>
      </c>
      <c r="L23" s="27">
        <v>1.0</v>
      </c>
      <c r="M23" s="27">
        <v>1.0</v>
      </c>
      <c r="N23" s="27">
        <v>1.0</v>
      </c>
      <c r="O23" s="27">
        <v>1.0</v>
      </c>
      <c r="P23" s="27">
        <v>1.0</v>
      </c>
      <c r="Q23" s="27">
        <v>1.0</v>
      </c>
      <c r="R23" s="27">
        <v>1.0</v>
      </c>
      <c r="S23" s="27">
        <v>1.0</v>
      </c>
      <c r="T23" s="27">
        <v>1.0</v>
      </c>
      <c r="U23" s="27">
        <v>1.0</v>
      </c>
      <c r="V23" s="27">
        <v>1.0</v>
      </c>
      <c r="W23" s="27">
        <v>1.0</v>
      </c>
      <c r="X23" s="27">
        <v>1.0</v>
      </c>
      <c r="Y23" s="27">
        <v>1.0</v>
      </c>
      <c r="Z23" s="27">
        <f t="shared" si="6"/>
        <v>17</v>
      </c>
      <c r="AA23" s="35"/>
      <c r="AB23" s="36"/>
    </row>
    <row r="24">
      <c r="A24" s="24"/>
      <c r="B24" s="25" t="s">
        <v>69</v>
      </c>
      <c r="C24" s="27">
        <v>1.0</v>
      </c>
      <c r="D24" s="29" t="s">
        <v>74</v>
      </c>
      <c r="E24" s="25">
        <v>5.0</v>
      </c>
      <c r="F24" s="25" t="s">
        <v>36</v>
      </c>
      <c r="G24" s="30">
        <v>0.0</v>
      </c>
      <c r="H24" s="27">
        <f t="shared" si="7"/>
        <v>0</v>
      </c>
      <c r="I24" s="27">
        <f t="shared" ref="I24:K24" si="9">IF($F24="Recurring",IF(I$2&gt;=$E24,$C24*(1+$G24)^FLOOR((I$2-$E24)/3,1),0),IF(I$2=$E24,$C24,0))</f>
        <v>0</v>
      </c>
      <c r="J24" s="27">
        <f t="shared" si="9"/>
        <v>0</v>
      </c>
      <c r="K24" s="27">
        <f t="shared" si="9"/>
        <v>0</v>
      </c>
      <c r="L24" s="27">
        <v>1.0</v>
      </c>
      <c r="M24" s="27">
        <v>1.0</v>
      </c>
      <c r="N24" s="27">
        <v>1.0</v>
      </c>
      <c r="O24" s="27">
        <v>1.0</v>
      </c>
      <c r="P24" s="27">
        <v>1.0</v>
      </c>
      <c r="Q24" s="27">
        <v>1.0</v>
      </c>
      <c r="R24" s="27">
        <v>1.0</v>
      </c>
      <c r="S24" s="27">
        <v>1.0</v>
      </c>
      <c r="T24" s="27">
        <v>1.0</v>
      </c>
      <c r="U24" s="27">
        <v>1.0</v>
      </c>
      <c r="V24" s="27">
        <v>1.0</v>
      </c>
      <c r="W24" s="27">
        <v>1.0</v>
      </c>
      <c r="X24" s="27">
        <v>1.0</v>
      </c>
      <c r="Y24" s="27">
        <v>1.0</v>
      </c>
      <c r="Z24" s="27">
        <f t="shared" si="6"/>
        <v>14</v>
      </c>
      <c r="AA24" s="35"/>
      <c r="AB24" s="36"/>
    </row>
    <row r="25">
      <c r="A25" s="24"/>
      <c r="B25" s="25" t="s">
        <v>78</v>
      </c>
      <c r="C25" s="27">
        <v>1.0</v>
      </c>
      <c r="D25" s="29" t="s">
        <v>65</v>
      </c>
      <c r="E25" s="25">
        <v>2.0</v>
      </c>
      <c r="F25" s="25" t="s">
        <v>36</v>
      </c>
      <c r="G25" s="30">
        <v>0.0</v>
      </c>
      <c r="H25" s="65">
        <v>0.0</v>
      </c>
      <c r="I25" s="27">
        <v>1.0</v>
      </c>
      <c r="J25" s="27">
        <v>1.0</v>
      </c>
      <c r="K25" s="27">
        <v>1.0</v>
      </c>
      <c r="L25" s="27">
        <v>1.0</v>
      </c>
      <c r="M25" s="27">
        <v>1.0</v>
      </c>
      <c r="N25" s="27">
        <v>1.0</v>
      </c>
      <c r="O25" s="27">
        <v>1.0</v>
      </c>
      <c r="P25" s="27">
        <v>1.0</v>
      </c>
      <c r="Q25" s="27">
        <v>1.0</v>
      </c>
      <c r="R25" s="27">
        <v>1.0</v>
      </c>
      <c r="S25" s="27">
        <v>1.0</v>
      </c>
      <c r="T25" s="27">
        <v>1.0</v>
      </c>
      <c r="U25" s="27">
        <v>1.0</v>
      </c>
      <c r="V25" s="27">
        <v>1.0</v>
      </c>
      <c r="W25" s="27">
        <v>1.0</v>
      </c>
      <c r="X25" s="27">
        <v>1.0</v>
      </c>
      <c r="Y25" s="27">
        <v>1.0</v>
      </c>
      <c r="Z25" s="27">
        <f t="shared" si="6"/>
        <v>17</v>
      </c>
      <c r="AA25" s="35"/>
      <c r="AB25" s="36"/>
    </row>
    <row r="26">
      <c r="A26" s="24"/>
      <c r="B26" s="25" t="s">
        <v>84</v>
      </c>
      <c r="C26" s="27">
        <v>1.0</v>
      </c>
      <c r="D26" s="29" t="s">
        <v>90</v>
      </c>
      <c r="E26" s="25">
        <v>1.0</v>
      </c>
      <c r="F26" s="25" t="s">
        <v>36</v>
      </c>
      <c r="G26" s="30">
        <v>0.0</v>
      </c>
      <c r="H26" s="27">
        <v>1.0</v>
      </c>
      <c r="I26" s="27">
        <v>1.0</v>
      </c>
      <c r="J26" s="27">
        <v>1.0</v>
      </c>
      <c r="K26" s="27">
        <v>1.0</v>
      </c>
      <c r="L26" s="27">
        <v>1.0</v>
      </c>
      <c r="M26" s="27">
        <v>1.0</v>
      </c>
      <c r="N26" s="27">
        <v>1.0</v>
      </c>
      <c r="O26" s="27">
        <v>1.0</v>
      </c>
      <c r="P26" s="27">
        <v>1.0</v>
      </c>
      <c r="Q26" s="27">
        <v>1.0</v>
      </c>
      <c r="R26" s="27">
        <v>1.0</v>
      </c>
      <c r="S26" s="27">
        <v>1.0</v>
      </c>
      <c r="T26" s="27">
        <v>1.0</v>
      </c>
      <c r="U26" s="27">
        <v>1.0</v>
      </c>
      <c r="V26" s="27">
        <v>1.0</v>
      </c>
      <c r="W26" s="27">
        <v>1.0</v>
      </c>
      <c r="X26" s="27">
        <v>1.0</v>
      </c>
      <c r="Y26" s="27">
        <v>1.0</v>
      </c>
      <c r="Z26" s="27">
        <f t="shared" si="6"/>
        <v>18</v>
      </c>
      <c r="AA26" s="35"/>
      <c r="AB26" s="36"/>
    </row>
    <row r="27">
      <c r="A27" s="24"/>
      <c r="B27" s="25" t="s">
        <v>91</v>
      </c>
      <c r="C27" s="27">
        <v>1.0</v>
      </c>
      <c r="D27" s="29" t="s">
        <v>96</v>
      </c>
      <c r="E27" s="25">
        <v>1.0</v>
      </c>
      <c r="F27" s="25" t="s">
        <v>36</v>
      </c>
      <c r="G27" s="30">
        <v>0.0</v>
      </c>
      <c r="H27" s="27">
        <v>1.0</v>
      </c>
      <c r="I27" s="27">
        <v>1.0</v>
      </c>
      <c r="J27" s="27">
        <v>1.0</v>
      </c>
      <c r="K27" s="27">
        <v>1.0</v>
      </c>
      <c r="L27" s="27">
        <v>1.0</v>
      </c>
      <c r="M27" s="27">
        <v>1.0</v>
      </c>
      <c r="N27" s="27">
        <v>1.0</v>
      </c>
      <c r="O27" s="27">
        <v>1.0</v>
      </c>
      <c r="P27" s="27">
        <v>1.0</v>
      </c>
      <c r="Q27" s="27">
        <v>1.0</v>
      </c>
      <c r="R27" s="27">
        <v>1.0</v>
      </c>
      <c r="S27" s="27">
        <v>1.0</v>
      </c>
      <c r="T27" s="27">
        <v>1.0</v>
      </c>
      <c r="U27" s="27">
        <v>1.0</v>
      </c>
      <c r="V27" s="27">
        <v>1.0</v>
      </c>
      <c r="W27" s="27">
        <v>1.0</v>
      </c>
      <c r="X27" s="27">
        <v>1.0</v>
      </c>
      <c r="Y27" s="27">
        <v>1.0</v>
      </c>
      <c r="Z27" s="27">
        <f t="shared" si="6"/>
        <v>18</v>
      </c>
      <c r="AA27" s="35"/>
      <c r="AB27" s="36"/>
    </row>
    <row r="28">
      <c r="A28" s="24"/>
      <c r="B28" s="25" t="s">
        <v>244</v>
      </c>
      <c r="C28" s="27">
        <v>1.0</v>
      </c>
      <c r="D28" s="29" t="s">
        <v>106</v>
      </c>
      <c r="E28" s="25">
        <v>5.0</v>
      </c>
      <c r="F28" s="25" t="s">
        <v>36</v>
      </c>
      <c r="G28" s="30">
        <v>0.0</v>
      </c>
      <c r="H28" s="27">
        <f t="shared" ref="H28:K28" si="10">IF($F28="Recurring",IF(H$2&gt;=$E28,$C28*(1+$G28)^FLOOR((H$2-$E28)/3,1),0),IF(H$2=$E28,$C28,0))</f>
        <v>0</v>
      </c>
      <c r="I28" s="27">
        <f t="shared" si="10"/>
        <v>0</v>
      </c>
      <c r="J28" s="27">
        <f t="shared" si="10"/>
        <v>0</v>
      </c>
      <c r="K28" s="27">
        <f t="shared" si="10"/>
        <v>0</v>
      </c>
      <c r="L28" s="27">
        <v>1.0</v>
      </c>
      <c r="M28" s="27">
        <v>1.0</v>
      </c>
      <c r="N28" s="27">
        <v>1.0</v>
      </c>
      <c r="O28" s="27">
        <v>1.0</v>
      </c>
      <c r="P28" s="27">
        <v>1.0</v>
      </c>
      <c r="Q28" s="27">
        <v>1.0</v>
      </c>
      <c r="R28" s="27">
        <v>1.0</v>
      </c>
      <c r="S28" s="27">
        <v>1.0</v>
      </c>
      <c r="T28" s="27">
        <v>1.0</v>
      </c>
      <c r="U28" s="27">
        <v>1.0</v>
      </c>
      <c r="V28" s="27">
        <v>1.0</v>
      </c>
      <c r="W28" s="27">
        <v>1.0</v>
      </c>
      <c r="X28" s="27">
        <v>1.0</v>
      </c>
      <c r="Y28" s="27">
        <v>1.0</v>
      </c>
      <c r="Z28" s="27">
        <f t="shared" si="6"/>
        <v>14</v>
      </c>
      <c r="AA28" s="35"/>
      <c r="AB28" s="36"/>
    </row>
    <row r="29">
      <c r="A29" s="24"/>
      <c r="B29" s="25" t="s">
        <v>245</v>
      </c>
      <c r="C29" s="27">
        <v>2.0</v>
      </c>
      <c r="D29" s="29" t="s">
        <v>246</v>
      </c>
      <c r="E29" s="25">
        <v>1.0</v>
      </c>
      <c r="F29" s="25" t="s">
        <v>36</v>
      </c>
      <c r="G29" s="30">
        <v>0.0</v>
      </c>
      <c r="H29" s="27">
        <v>2.0</v>
      </c>
      <c r="I29" s="27">
        <v>2.0</v>
      </c>
      <c r="J29" s="27">
        <v>2.0</v>
      </c>
      <c r="K29" s="27">
        <v>2.0</v>
      </c>
      <c r="L29" s="27">
        <v>2.0</v>
      </c>
      <c r="M29" s="27">
        <v>2.0</v>
      </c>
      <c r="N29" s="27">
        <v>2.0</v>
      </c>
      <c r="O29" s="27">
        <v>2.0</v>
      </c>
      <c r="P29" s="27">
        <v>2.0</v>
      </c>
      <c r="Q29" s="27">
        <v>2.0</v>
      </c>
      <c r="R29" s="27">
        <v>2.0</v>
      </c>
      <c r="S29" s="27">
        <v>2.0</v>
      </c>
      <c r="T29" s="27">
        <v>2.0</v>
      </c>
      <c r="U29" s="27">
        <v>2.0</v>
      </c>
      <c r="V29" s="27">
        <v>2.0</v>
      </c>
      <c r="W29" s="27">
        <v>2.0</v>
      </c>
      <c r="X29" s="27">
        <v>2.0</v>
      </c>
      <c r="Y29" s="27">
        <v>2.0</v>
      </c>
      <c r="Z29" s="27">
        <f t="shared" si="6"/>
        <v>36</v>
      </c>
      <c r="AA29" s="35"/>
      <c r="AB29" s="36"/>
    </row>
    <row r="30">
      <c r="A30" s="24"/>
      <c r="B30" s="25" t="s">
        <v>112</v>
      </c>
      <c r="C30" s="27">
        <v>1.0</v>
      </c>
      <c r="D30" s="29" t="s">
        <v>120</v>
      </c>
      <c r="E30" s="25">
        <v>10.0</v>
      </c>
      <c r="F30" s="25" t="s">
        <v>36</v>
      </c>
      <c r="G30" s="30">
        <v>0.0</v>
      </c>
      <c r="H30" s="27">
        <f t="shared" ref="H30:K30" si="11">IF($F30="Recurring",IF(H$2&gt;=$E30,$C30*(1+$G30)^FLOOR((H$2-$E30)/3,1),0),IF(H$2=$E30,$C30,0))</f>
        <v>0</v>
      </c>
      <c r="I30" s="27">
        <f t="shared" si="11"/>
        <v>0</v>
      </c>
      <c r="J30" s="27">
        <f t="shared" si="11"/>
        <v>0</v>
      </c>
      <c r="K30" s="27">
        <f t="shared" si="11"/>
        <v>0</v>
      </c>
      <c r="L30" s="27">
        <v>0.0</v>
      </c>
      <c r="M30" s="27">
        <v>0.0</v>
      </c>
      <c r="N30" s="27">
        <v>0.0</v>
      </c>
      <c r="O30" s="27">
        <v>0.0</v>
      </c>
      <c r="P30" s="27">
        <v>1.0</v>
      </c>
      <c r="Q30" s="27">
        <v>1.0</v>
      </c>
      <c r="R30" s="27">
        <v>1.0</v>
      </c>
      <c r="S30" s="27">
        <v>1.0</v>
      </c>
      <c r="T30" s="27">
        <v>1.0</v>
      </c>
      <c r="U30" s="27">
        <v>1.0</v>
      </c>
      <c r="V30" s="27">
        <v>1.0</v>
      </c>
      <c r="W30" s="27">
        <v>1.0</v>
      </c>
      <c r="X30" s="27">
        <v>1.0</v>
      </c>
      <c r="Y30" s="27">
        <v>1.0</v>
      </c>
      <c r="Z30" s="27">
        <f t="shared" si="6"/>
        <v>10</v>
      </c>
      <c r="AA30" s="35"/>
      <c r="AB30" s="36"/>
    </row>
    <row r="31">
      <c r="A31" s="24"/>
      <c r="B31" s="25" t="s">
        <v>247</v>
      </c>
      <c r="C31" s="27">
        <v>0.5</v>
      </c>
      <c r="D31" s="29" t="s">
        <v>246</v>
      </c>
      <c r="E31" s="25">
        <v>1.0</v>
      </c>
      <c r="F31" s="25" t="s">
        <v>36</v>
      </c>
      <c r="G31" s="30">
        <v>0.0</v>
      </c>
      <c r="H31" s="27">
        <v>0.5</v>
      </c>
      <c r="I31" s="27">
        <v>0.5</v>
      </c>
      <c r="J31" s="27">
        <v>0.5</v>
      </c>
      <c r="K31" s="27">
        <v>0.5</v>
      </c>
      <c r="L31" s="27">
        <v>0.5</v>
      </c>
      <c r="M31" s="27">
        <v>0.5</v>
      </c>
      <c r="N31" s="27">
        <v>0.5</v>
      </c>
      <c r="O31" s="27">
        <v>0.5</v>
      </c>
      <c r="P31" s="27">
        <v>0.5</v>
      </c>
      <c r="Q31" s="27">
        <v>0.5</v>
      </c>
      <c r="R31" s="27">
        <v>0.5</v>
      </c>
      <c r="S31" s="27">
        <v>0.5</v>
      </c>
      <c r="T31" s="27">
        <v>0.5</v>
      </c>
      <c r="U31" s="27">
        <v>0.5</v>
      </c>
      <c r="V31" s="27">
        <v>0.5</v>
      </c>
      <c r="W31" s="27">
        <v>0.5</v>
      </c>
      <c r="X31" s="27">
        <v>0.5</v>
      </c>
      <c r="Y31" s="27">
        <v>0.5</v>
      </c>
      <c r="Z31" s="27">
        <f t="shared" si="6"/>
        <v>9</v>
      </c>
      <c r="AA31" s="35"/>
      <c r="AB31" s="36"/>
    </row>
    <row r="32">
      <c r="A32" s="66"/>
      <c r="B32" s="66"/>
      <c r="C32" s="67"/>
      <c r="D32" s="66"/>
      <c r="E32" s="66"/>
      <c r="F32" s="66"/>
      <c r="G32" s="68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9"/>
      <c r="AB32" s="12"/>
    </row>
    <row r="33">
      <c r="A33" s="40"/>
      <c r="B33" s="40"/>
      <c r="C33" s="41"/>
      <c r="D33" s="40"/>
      <c r="E33" s="40"/>
      <c r="F33" s="40"/>
      <c r="G33" s="42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4">
        <f>SUM(Z16:Z31)</f>
        <v>345.3</v>
      </c>
      <c r="AB33" s="12"/>
    </row>
    <row r="34">
      <c r="A34" s="70" t="s">
        <v>248</v>
      </c>
      <c r="B34" s="71"/>
      <c r="C34" s="16"/>
      <c r="D34" s="14"/>
      <c r="E34" s="14"/>
      <c r="F34" s="14"/>
      <c r="G34" s="18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2"/>
      <c r="AB34" s="12"/>
    </row>
    <row r="35">
      <c r="A35" s="24"/>
      <c r="B35" s="25" t="s">
        <v>249</v>
      </c>
      <c r="C35" s="27">
        <v>2.0</v>
      </c>
      <c r="D35" s="29" t="s">
        <v>124</v>
      </c>
      <c r="E35" s="25">
        <v>9.0</v>
      </c>
      <c r="F35" s="25" t="s">
        <v>36</v>
      </c>
      <c r="G35" s="30">
        <v>0.0</v>
      </c>
      <c r="H35" s="27">
        <f t="shared" ref="H35:O35" si="12">IF($F35="Recurring",IF(H$2&gt;=$E35,$C35*(1+$G35)^FLOOR((H$2-$E35)/3,1),0),IF(H$2=$E35,$C35,0))</f>
        <v>0</v>
      </c>
      <c r="I35" s="27">
        <f t="shared" si="12"/>
        <v>0</v>
      </c>
      <c r="J35" s="27">
        <f t="shared" si="12"/>
        <v>0</v>
      </c>
      <c r="K35" s="27">
        <f t="shared" si="12"/>
        <v>0</v>
      </c>
      <c r="L35" s="27">
        <f t="shared" si="12"/>
        <v>0</v>
      </c>
      <c r="M35" s="27">
        <f t="shared" si="12"/>
        <v>0</v>
      </c>
      <c r="N35" s="27">
        <f t="shared" si="12"/>
        <v>0</v>
      </c>
      <c r="O35" s="27">
        <f t="shared" si="12"/>
        <v>0</v>
      </c>
      <c r="P35" s="27">
        <v>2.0</v>
      </c>
      <c r="Q35" s="27">
        <v>2.0</v>
      </c>
      <c r="R35" s="27">
        <v>2.0</v>
      </c>
      <c r="S35" s="27">
        <v>2.0</v>
      </c>
      <c r="T35" s="27">
        <v>2.0</v>
      </c>
      <c r="U35" s="27">
        <v>2.0</v>
      </c>
      <c r="V35" s="27">
        <v>2.0</v>
      </c>
      <c r="W35" s="27">
        <v>2.0</v>
      </c>
      <c r="X35" s="27">
        <v>2.0</v>
      </c>
      <c r="Y35" s="27">
        <v>2.0</v>
      </c>
      <c r="Z35" s="27">
        <f t="shared" ref="Z35:Z45" si="14">SUM(H35:Y35)</f>
        <v>20</v>
      </c>
      <c r="AA35" s="35"/>
      <c r="AB35" s="72"/>
    </row>
    <row r="36">
      <c r="A36" s="24"/>
      <c r="B36" s="25" t="s">
        <v>127</v>
      </c>
      <c r="C36" s="27">
        <v>3.0</v>
      </c>
      <c r="D36" s="29" t="s">
        <v>132</v>
      </c>
      <c r="E36" s="25">
        <v>3.0</v>
      </c>
      <c r="F36" s="25" t="s">
        <v>36</v>
      </c>
      <c r="G36" s="30">
        <v>0.0</v>
      </c>
      <c r="H36" s="27">
        <f t="shared" ref="H36:I36" si="13">IF($F36="Recurring",IF(H$2&gt;=$E36,$C36*(1+$G36)^FLOOR((H$2-$E36)/3,1),0),IF(H$2=$E36,$C36,0))</f>
        <v>0</v>
      </c>
      <c r="I36" s="27">
        <f t="shared" si="13"/>
        <v>0</v>
      </c>
      <c r="J36" s="27">
        <v>3.0</v>
      </c>
      <c r="K36" s="27">
        <v>3.0</v>
      </c>
      <c r="L36" s="27">
        <v>3.0</v>
      </c>
      <c r="M36" s="27">
        <v>3.0</v>
      </c>
      <c r="N36" s="27">
        <v>3.0</v>
      </c>
      <c r="O36" s="27">
        <v>3.0</v>
      </c>
      <c r="P36" s="27">
        <v>3.0</v>
      </c>
      <c r="Q36" s="27">
        <v>3.0</v>
      </c>
      <c r="R36" s="27">
        <v>3.0</v>
      </c>
      <c r="S36" s="27">
        <v>3.0</v>
      </c>
      <c r="T36" s="27">
        <v>3.0</v>
      </c>
      <c r="U36" s="27">
        <v>3.0</v>
      </c>
      <c r="V36" s="27">
        <v>3.0</v>
      </c>
      <c r="W36" s="27">
        <v>3.0</v>
      </c>
      <c r="X36" s="27">
        <v>3.0</v>
      </c>
      <c r="Y36" s="27">
        <v>3.0</v>
      </c>
      <c r="Z36" s="27">
        <f t="shared" si="14"/>
        <v>48</v>
      </c>
      <c r="AA36" s="35"/>
      <c r="AB36" s="36"/>
    </row>
    <row r="37">
      <c r="A37" s="24"/>
      <c r="B37" s="25" t="s">
        <v>250</v>
      </c>
      <c r="C37" s="27">
        <v>3.0</v>
      </c>
      <c r="D37" s="29" t="s">
        <v>120</v>
      </c>
      <c r="E37" s="25">
        <v>3.0</v>
      </c>
      <c r="F37" s="25" t="s">
        <v>36</v>
      </c>
      <c r="G37" s="30">
        <v>0.0</v>
      </c>
      <c r="H37" s="27">
        <f t="shared" ref="H37:I37" si="15">IF($F37="Recurring",IF(H$2&gt;=$E37,$C37*(1+$G37)^FLOOR((H$2-$E37)/3,1),0),IF(H$2=$E37,$C37,0))</f>
        <v>0</v>
      </c>
      <c r="I37" s="27">
        <f t="shared" si="15"/>
        <v>0</v>
      </c>
      <c r="J37" s="27">
        <v>3.0</v>
      </c>
      <c r="K37" s="27">
        <v>3.0</v>
      </c>
      <c r="L37" s="27">
        <v>3.0</v>
      </c>
      <c r="M37" s="27">
        <v>3.0</v>
      </c>
      <c r="N37" s="27">
        <v>3.0</v>
      </c>
      <c r="O37" s="27">
        <v>3.0</v>
      </c>
      <c r="P37" s="27">
        <v>3.0</v>
      </c>
      <c r="Q37" s="27">
        <v>3.0</v>
      </c>
      <c r="R37" s="27">
        <v>3.0</v>
      </c>
      <c r="S37" s="27">
        <v>3.0</v>
      </c>
      <c r="T37" s="27">
        <v>3.0</v>
      </c>
      <c r="U37" s="27">
        <v>3.0</v>
      </c>
      <c r="V37" s="27">
        <v>3.0</v>
      </c>
      <c r="W37" s="27">
        <v>3.0</v>
      </c>
      <c r="X37" s="27">
        <v>3.0</v>
      </c>
      <c r="Y37" s="27">
        <v>3.0</v>
      </c>
      <c r="Z37" s="27">
        <f t="shared" si="14"/>
        <v>48</v>
      </c>
      <c r="AA37" s="35"/>
      <c r="AB37" s="36"/>
    </row>
    <row r="38">
      <c r="A38" s="24"/>
      <c r="B38" s="25" t="s">
        <v>251</v>
      </c>
      <c r="C38" s="27">
        <v>2.0</v>
      </c>
      <c r="D38" s="29" t="s">
        <v>120</v>
      </c>
      <c r="E38" s="25">
        <v>5.0</v>
      </c>
      <c r="F38" s="25" t="s">
        <v>36</v>
      </c>
      <c r="G38" s="30">
        <v>0.0</v>
      </c>
      <c r="H38" s="27">
        <f t="shared" ref="H38:K38" si="16">IF($F38="Recurring",IF(H$2&gt;=$E38,$C38*(1+$G38)^FLOOR((H$2-$E38)/3,1),0),IF(H$2=$E38,$C38,0))</f>
        <v>0</v>
      </c>
      <c r="I38" s="27">
        <f t="shared" si="16"/>
        <v>0</v>
      </c>
      <c r="J38" s="27">
        <f t="shared" si="16"/>
        <v>0</v>
      </c>
      <c r="K38" s="27">
        <f t="shared" si="16"/>
        <v>0</v>
      </c>
      <c r="L38" s="27">
        <v>2.0</v>
      </c>
      <c r="M38" s="27">
        <v>2.0</v>
      </c>
      <c r="N38" s="27">
        <v>2.0</v>
      </c>
      <c r="O38" s="27">
        <v>2.0</v>
      </c>
      <c r="P38" s="27">
        <v>2.0</v>
      </c>
      <c r="Q38" s="27">
        <v>2.0</v>
      </c>
      <c r="R38" s="27">
        <v>2.0</v>
      </c>
      <c r="S38" s="27">
        <v>2.0</v>
      </c>
      <c r="T38" s="27">
        <v>2.0</v>
      </c>
      <c r="U38" s="27">
        <v>2.0</v>
      </c>
      <c r="V38" s="27">
        <v>2.0</v>
      </c>
      <c r="W38" s="27">
        <v>2.0</v>
      </c>
      <c r="X38" s="27">
        <v>2.0</v>
      </c>
      <c r="Y38" s="27">
        <v>2.0</v>
      </c>
      <c r="Z38" s="27">
        <f t="shared" si="14"/>
        <v>28</v>
      </c>
      <c r="AA38" s="35"/>
      <c r="AB38" s="36"/>
    </row>
    <row r="39">
      <c r="A39" s="24"/>
      <c r="B39" s="25" t="s">
        <v>252</v>
      </c>
      <c r="C39" s="27">
        <v>2.0</v>
      </c>
      <c r="D39" s="29" t="s">
        <v>155</v>
      </c>
      <c r="E39" s="25">
        <v>3.0</v>
      </c>
      <c r="F39" s="25" t="s">
        <v>36</v>
      </c>
      <c r="G39" s="30">
        <v>0.0</v>
      </c>
      <c r="H39" s="27">
        <f t="shared" ref="H39:I39" si="17">IF($F39="Recurring",IF(H$2&gt;=$E39,$C39*(1+$G39)^FLOOR((H$2-$E39)/3,1),0),IF(H$2=$E39,$C39,0))</f>
        <v>0</v>
      </c>
      <c r="I39" s="27">
        <f t="shared" si="17"/>
        <v>0</v>
      </c>
      <c r="J39" s="27">
        <v>2.0</v>
      </c>
      <c r="K39" s="27">
        <v>2.0</v>
      </c>
      <c r="L39" s="27">
        <v>2.0</v>
      </c>
      <c r="M39" s="27">
        <v>2.0</v>
      </c>
      <c r="N39" s="27">
        <v>2.0</v>
      </c>
      <c r="O39" s="27">
        <v>2.0</v>
      </c>
      <c r="P39" s="27">
        <v>2.0</v>
      </c>
      <c r="Q39" s="27">
        <v>2.0</v>
      </c>
      <c r="R39" s="27">
        <v>2.0</v>
      </c>
      <c r="S39" s="27">
        <v>2.0</v>
      </c>
      <c r="T39" s="27">
        <v>2.0</v>
      </c>
      <c r="U39" s="27">
        <v>2.0</v>
      </c>
      <c r="V39" s="27">
        <v>2.0</v>
      </c>
      <c r="W39" s="27">
        <v>2.0</v>
      </c>
      <c r="X39" s="27">
        <v>2.0</v>
      </c>
      <c r="Y39" s="27">
        <v>2.0</v>
      </c>
      <c r="Z39" s="27">
        <f t="shared" si="14"/>
        <v>32</v>
      </c>
      <c r="AA39" s="35"/>
      <c r="AB39" s="36"/>
    </row>
    <row r="40">
      <c r="A40" s="25" t="s">
        <v>253</v>
      </c>
      <c r="B40" s="25" t="s">
        <v>254</v>
      </c>
      <c r="C40" s="27">
        <v>1.0</v>
      </c>
      <c r="D40" s="29" t="s">
        <v>255</v>
      </c>
      <c r="E40" s="25">
        <v>9.0</v>
      </c>
      <c r="F40" s="25" t="s">
        <v>36</v>
      </c>
      <c r="G40" s="30">
        <v>0.0</v>
      </c>
      <c r="H40" s="27">
        <f t="shared" ref="H40:O40" si="18">IF($F40="Recurring",IF(H$2&gt;=$E40,$C40*(1+$G40)^FLOOR((H$2-$E40)/3,1),0),IF(H$2=$E40,$C40,0))</f>
        <v>0</v>
      </c>
      <c r="I40" s="27">
        <f t="shared" si="18"/>
        <v>0</v>
      </c>
      <c r="J40" s="27">
        <f t="shared" si="18"/>
        <v>0</v>
      </c>
      <c r="K40" s="27">
        <f t="shared" si="18"/>
        <v>0</v>
      </c>
      <c r="L40" s="27">
        <f t="shared" si="18"/>
        <v>0</v>
      </c>
      <c r="M40" s="27">
        <f t="shared" si="18"/>
        <v>0</v>
      </c>
      <c r="N40" s="27">
        <f t="shared" si="18"/>
        <v>0</v>
      </c>
      <c r="O40" s="27">
        <f t="shared" si="18"/>
        <v>0</v>
      </c>
      <c r="P40" s="27">
        <v>1.0</v>
      </c>
      <c r="Q40" s="27">
        <v>1.0</v>
      </c>
      <c r="R40" s="27">
        <v>1.0</v>
      </c>
      <c r="S40" s="27">
        <v>1.0</v>
      </c>
      <c r="T40" s="27">
        <v>1.0</v>
      </c>
      <c r="U40" s="27">
        <v>1.0</v>
      </c>
      <c r="V40" s="27">
        <v>1.0</v>
      </c>
      <c r="W40" s="27">
        <v>1.0</v>
      </c>
      <c r="X40" s="27">
        <v>1.0</v>
      </c>
      <c r="Y40" s="27">
        <v>1.0</v>
      </c>
      <c r="Z40" s="27">
        <f t="shared" si="14"/>
        <v>10</v>
      </c>
      <c r="AA40" s="35"/>
      <c r="AB40" s="36"/>
    </row>
    <row r="41">
      <c r="A41" s="24"/>
      <c r="B41" s="25" t="s">
        <v>159</v>
      </c>
      <c r="C41" s="27">
        <v>1.5</v>
      </c>
      <c r="D41" s="29" t="s">
        <v>163</v>
      </c>
      <c r="E41" s="25">
        <v>12.0</v>
      </c>
      <c r="F41" s="25" t="s">
        <v>36</v>
      </c>
      <c r="G41" s="30">
        <v>0.0</v>
      </c>
      <c r="H41" s="27">
        <f t="shared" ref="H41:O41" si="19">IF($F41="Recurring",IF(H$2&gt;=$E41,$C41*(1+$G41)^FLOOR((H$2-$E41)/3,1),0),IF(H$2=$E41,$C41,0))</f>
        <v>0</v>
      </c>
      <c r="I41" s="27">
        <f t="shared" si="19"/>
        <v>0</v>
      </c>
      <c r="J41" s="27">
        <f t="shared" si="19"/>
        <v>0</v>
      </c>
      <c r="K41" s="27">
        <f t="shared" si="19"/>
        <v>0</v>
      </c>
      <c r="L41" s="27">
        <f t="shared" si="19"/>
        <v>0</v>
      </c>
      <c r="M41" s="27">
        <f t="shared" si="19"/>
        <v>0</v>
      </c>
      <c r="N41" s="27">
        <f t="shared" si="19"/>
        <v>0</v>
      </c>
      <c r="O41" s="27">
        <f t="shared" si="19"/>
        <v>0</v>
      </c>
      <c r="P41" s="27">
        <v>0.0</v>
      </c>
      <c r="Q41" s="27">
        <v>0.0</v>
      </c>
      <c r="R41" s="27">
        <v>0.0</v>
      </c>
      <c r="S41" s="27">
        <v>1.5</v>
      </c>
      <c r="T41" s="27">
        <v>1.5</v>
      </c>
      <c r="U41" s="27">
        <v>1.5</v>
      </c>
      <c r="V41" s="27">
        <v>1.5</v>
      </c>
      <c r="W41" s="27">
        <v>1.5</v>
      </c>
      <c r="X41" s="27">
        <v>1.5</v>
      </c>
      <c r="Y41" s="27">
        <v>1.5</v>
      </c>
      <c r="Z41" s="27">
        <f t="shared" si="14"/>
        <v>10.5</v>
      </c>
      <c r="AA41" s="35"/>
      <c r="AB41" s="36"/>
    </row>
    <row r="42">
      <c r="A42" s="24"/>
      <c r="B42" s="25" t="s">
        <v>256</v>
      </c>
      <c r="C42" s="27">
        <v>3.0</v>
      </c>
      <c r="D42" s="29" t="s">
        <v>173</v>
      </c>
      <c r="E42" s="25">
        <v>3.0</v>
      </c>
      <c r="F42" s="25" t="s">
        <v>36</v>
      </c>
      <c r="G42" s="30">
        <v>0.0</v>
      </c>
      <c r="H42" s="27">
        <f t="shared" ref="H42:I42" si="20">IF($F42="Recurring",IF(H$2&gt;=$E42,$C42*(1+$G42)^FLOOR((H$2-$E42)/3,1),0),IF(H$2=$E42,$C42,0))</f>
        <v>0</v>
      </c>
      <c r="I42" s="27">
        <f t="shared" si="20"/>
        <v>0</v>
      </c>
      <c r="J42" s="27">
        <v>3.0</v>
      </c>
      <c r="K42" s="27">
        <v>3.0</v>
      </c>
      <c r="L42" s="27">
        <v>3.0</v>
      </c>
      <c r="M42" s="27">
        <v>3.0</v>
      </c>
      <c r="N42" s="27">
        <v>3.0</v>
      </c>
      <c r="O42" s="27">
        <v>3.0</v>
      </c>
      <c r="P42" s="27">
        <v>3.0</v>
      </c>
      <c r="Q42" s="27">
        <v>3.0</v>
      </c>
      <c r="R42" s="27">
        <v>3.0</v>
      </c>
      <c r="S42" s="27">
        <v>3.0</v>
      </c>
      <c r="T42" s="27">
        <v>3.0</v>
      </c>
      <c r="U42" s="27">
        <v>3.0</v>
      </c>
      <c r="V42" s="27">
        <v>3.0</v>
      </c>
      <c r="W42" s="27">
        <v>3.0</v>
      </c>
      <c r="X42" s="27">
        <v>3.0</v>
      </c>
      <c r="Y42" s="27">
        <v>3.0</v>
      </c>
      <c r="Z42" s="27">
        <f t="shared" si="14"/>
        <v>48</v>
      </c>
      <c r="AA42" s="35"/>
      <c r="AB42" s="36"/>
    </row>
    <row r="43">
      <c r="A43" s="24"/>
      <c r="B43" s="25" t="s">
        <v>257</v>
      </c>
      <c r="C43" s="27">
        <v>1.5</v>
      </c>
      <c r="D43" s="29" t="s">
        <v>258</v>
      </c>
      <c r="E43" s="25">
        <v>3.0</v>
      </c>
      <c r="F43" s="25" t="s">
        <v>36</v>
      </c>
      <c r="G43" s="30">
        <v>0.0</v>
      </c>
      <c r="H43" s="27">
        <f t="shared" ref="H43:I43" si="21">IF($F43="Recurring",IF(H$2&gt;=$E43,$C43*(1+$G43)^FLOOR((H$2-$E43)/3,1),0),IF(H$2=$E43,$C43,0))</f>
        <v>0</v>
      </c>
      <c r="I43" s="27">
        <f t="shared" si="21"/>
        <v>0</v>
      </c>
      <c r="J43" s="27">
        <v>1.5</v>
      </c>
      <c r="K43" s="27">
        <v>1.5</v>
      </c>
      <c r="L43" s="27">
        <v>1.5</v>
      </c>
      <c r="M43" s="27">
        <v>1.5</v>
      </c>
      <c r="N43" s="27">
        <v>1.5</v>
      </c>
      <c r="O43" s="27">
        <v>1.5</v>
      </c>
      <c r="P43" s="27">
        <v>1.5</v>
      </c>
      <c r="Q43" s="27">
        <v>1.5</v>
      </c>
      <c r="R43" s="27">
        <v>1.5</v>
      </c>
      <c r="S43" s="27">
        <v>1.5</v>
      </c>
      <c r="T43" s="27">
        <v>1.5</v>
      </c>
      <c r="U43" s="27">
        <v>1.5</v>
      </c>
      <c r="V43" s="27">
        <v>1.5</v>
      </c>
      <c r="W43" s="27">
        <v>1.5</v>
      </c>
      <c r="X43" s="27">
        <v>1.5</v>
      </c>
      <c r="Y43" s="27">
        <v>1.5</v>
      </c>
      <c r="Z43" s="27">
        <f t="shared" si="14"/>
        <v>24</v>
      </c>
      <c r="AA43" s="35"/>
      <c r="AB43" s="36"/>
    </row>
    <row r="44">
      <c r="A44" s="66"/>
      <c r="B44" s="73" t="s">
        <v>259</v>
      </c>
      <c r="C44" s="27">
        <v>1.0</v>
      </c>
      <c r="D44" s="66"/>
      <c r="E44" s="73">
        <v>3.0</v>
      </c>
      <c r="F44" s="25" t="s">
        <v>36</v>
      </c>
      <c r="G44" s="30">
        <v>0.0</v>
      </c>
      <c r="H44" s="74">
        <v>0.0</v>
      </c>
      <c r="I44" s="74">
        <v>0.0</v>
      </c>
      <c r="J44" s="27">
        <v>1.0</v>
      </c>
      <c r="K44" s="27">
        <v>1.0</v>
      </c>
      <c r="L44" s="27">
        <v>1.0</v>
      </c>
      <c r="M44" s="27">
        <v>1.0</v>
      </c>
      <c r="N44" s="27">
        <v>1.0</v>
      </c>
      <c r="O44" s="27">
        <v>1.0</v>
      </c>
      <c r="P44" s="27">
        <v>1.0</v>
      </c>
      <c r="Q44" s="27">
        <v>1.0</v>
      </c>
      <c r="R44" s="27">
        <v>1.0</v>
      </c>
      <c r="S44" s="27">
        <v>1.0</v>
      </c>
      <c r="T44" s="27">
        <v>1.0</v>
      </c>
      <c r="U44" s="27">
        <v>1.0</v>
      </c>
      <c r="V44" s="27">
        <v>1.0</v>
      </c>
      <c r="W44" s="27">
        <v>1.0</v>
      </c>
      <c r="X44" s="27">
        <v>1.0</v>
      </c>
      <c r="Y44" s="27">
        <v>1.0</v>
      </c>
      <c r="Z44" s="27">
        <f t="shared" si="14"/>
        <v>16</v>
      </c>
      <c r="AA44" s="69"/>
      <c r="AB44" s="12"/>
    </row>
    <row r="45">
      <c r="A45" s="66"/>
      <c r="B45" s="73" t="s">
        <v>260</v>
      </c>
      <c r="C45" s="27">
        <v>1.0</v>
      </c>
      <c r="D45" s="66"/>
      <c r="E45" s="73">
        <v>9.0</v>
      </c>
      <c r="F45" s="25" t="s">
        <v>36</v>
      </c>
      <c r="G45" s="30">
        <v>0.0</v>
      </c>
      <c r="H45" s="74">
        <v>0.0</v>
      </c>
      <c r="I45" s="74">
        <v>0.0</v>
      </c>
      <c r="J45" s="74">
        <v>0.0</v>
      </c>
      <c r="K45" s="74">
        <v>0.0</v>
      </c>
      <c r="L45" s="74">
        <v>0.0</v>
      </c>
      <c r="M45" s="74">
        <v>0.0</v>
      </c>
      <c r="N45" s="74">
        <v>0.0</v>
      </c>
      <c r="O45" s="74">
        <v>0.0</v>
      </c>
      <c r="P45" s="27">
        <v>1.0</v>
      </c>
      <c r="Q45" s="27">
        <v>1.0</v>
      </c>
      <c r="R45" s="27">
        <v>1.0</v>
      </c>
      <c r="S45" s="27">
        <v>1.0</v>
      </c>
      <c r="T45" s="27">
        <v>1.0</v>
      </c>
      <c r="U45" s="27">
        <v>1.0</v>
      </c>
      <c r="V45" s="27">
        <v>1.0</v>
      </c>
      <c r="W45" s="27">
        <v>1.0</v>
      </c>
      <c r="X45" s="27">
        <v>1.0</v>
      </c>
      <c r="Y45" s="27">
        <v>1.0</v>
      </c>
      <c r="Z45" s="27">
        <f t="shared" si="14"/>
        <v>10</v>
      </c>
      <c r="AA45" s="69"/>
      <c r="AB45" s="12"/>
    </row>
    <row r="46">
      <c r="A46" s="40"/>
      <c r="B46" s="40"/>
      <c r="C46" s="41"/>
      <c r="D46" s="40"/>
      <c r="E46" s="40"/>
      <c r="F46" s="40"/>
      <c r="G46" s="42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4">
        <f>SUM(Z35:Z45)</f>
        <v>294.5</v>
      </c>
      <c r="AB46" s="12"/>
    </row>
    <row r="47">
      <c r="A47" s="70" t="s">
        <v>261</v>
      </c>
      <c r="B47" s="71"/>
      <c r="C47" s="16"/>
      <c r="D47" s="14"/>
      <c r="E47" s="14"/>
      <c r="F47" s="14"/>
      <c r="G47" s="18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22"/>
      <c r="AB47" s="12"/>
    </row>
    <row r="48">
      <c r="A48" s="24"/>
      <c r="B48" s="75" t="s">
        <v>262</v>
      </c>
      <c r="C48" s="27">
        <v>4.0</v>
      </c>
      <c r="D48" s="24"/>
      <c r="E48" s="75">
        <v>1.0</v>
      </c>
      <c r="F48" s="25" t="s">
        <v>36</v>
      </c>
      <c r="G48" s="30">
        <v>0.0</v>
      </c>
      <c r="H48" s="27">
        <v>4.0</v>
      </c>
      <c r="I48" s="27">
        <v>4.0</v>
      </c>
      <c r="J48" s="27">
        <v>4.0</v>
      </c>
      <c r="K48" s="27">
        <v>4.0</v>
      </c>
      <c r="L48" s="27">
        <v>4.0</v>
      </c>
      <c r="M48" s="27">
        <v>4.0</v>
      </c>
      <c r="N48" s="27">
        <v>6.0</v>
      </c>
      <c r="O48" s="27">
        <v>6.0</v>
      </c>
      <c r="P48" s="27">
        <v>6.0</v>
      </c>
      <c r="Q48" s="27">
        <v>6.0</v>
      </c>
      <c r="R48" s="27">
        <v>6.0</v>
      </c>
      <c r="S48" s="27">
        <v>6.0</v>
      </c>
      <c r="T48" s="27">
        <v>8.0</v>
      </c>
      <c r="U48" s="27">
        <v>8.0</v>
      </c>
      <c r="V48" s="27">
        <v>8.0</v>
      </c>
      <c r="W48" s="27">
        <v>8.0</v>
      </c>
      <c r="X48" s="27">
        <v>8.0</v>
      </c>
      <c r="Y48" s="27">
        <v>8.0</v>
      </c>
      <c r="Z48" s="27">
        <f t="shared" ref="Z48:Z50" si="23">SUM(H48:Y48)</f>
        <v>108</v>
      </c>
      <c r="AA48" s="35"/>
      <c r="AB48" s="36"/>
    </row>
    <row r="49">
      <c r="A49" s="24"/>
      <c r="B49" s="75" t="s">
        <v>263</v>
      </c>
      <c r="C49" s="27">
        <v>2.0</v>
      </c>
      <c r="D49" s="24"/>
      <c r="E49" s="75">
        <v>1.0</v>
      </c>
      <c r="F49" s="75" t="s">
        <v>36</v>
      </c>
      <c r="G49" s="30">
        <v>0.1</v>
      </c>
      <c r="H49" s="27">
        <v>2.0</v>
      </c>
      <c r="I49" s="27">
        <v>2.0</v>
      </c>
      <c r="J49" s="27">
        <v>2.0</v>
      </c>
      <c r="K49" s="27">
        <f t="shared" ref="K49:Y49" si="22">J49*1.1</f>
        <v>2.2</v>
      </c>
      <c r="L49" s="27">
        <f t="shared" si="22"/>
        <v>2.42</v>
      </c>
      <c r="M49" s="27">
        <f t="shared" si="22"/>
        <v>2.662</v>
      </c>
      <c r="N49" s="27">
        <f t="shared" si="22"/>
        <v>2.9282</v>
      </c>
      <c r="O49" s="27">
        <f t="shared" si="22"/>
        <v>3.22102</v>
      </c>
      <c r="P49" s="27">
        <f t="shared" si="22"/>
        <v>3.543122</v>
      </c>
      <c r="Q49" s="27">
        <f t="shared" si="22"/>
        <v>3.8974342</v>
      </c>
      <c r="R49" s="27">
        <f t="shared" si="22"/>
        <v>4.28717762</v>
      </c>
      <c r="S49" s="27">
        <f t="shared" si="22"/>
        <v>4.715895382</v>
      </c>
      <c r="T49" s="27">
        <f t="shared" si="22"/>
        <v>5.18748492</v>
      </c>
      <c r="U49" s="27">
        <f t="shared" si="22"/>
        <v>5.706233412</v>
      </c>
      <c r="V49" s="27">
        <f t="shared" si="22"/>
        <v>6.276856753</v>
      </c>
      <c r="W49" s="27">
        <f t="shared" si="22"/>
        <v>6.904542429</v>
      </c>
      <c r="X49" s="27">
        <f t="shared" si="22"/>
        <v>7.594996672</v>
      </c>
      <c r="Y49" s="27">
        <f t="shared" si="22"/>
        <v>8.354496339</v>
      </c>
      <c r="Z49" s="27">
        <f t="shared" si="23"/>
        <v>75.89945973</v>
      </c>
      <c r="AA49" s="35"/>
      <c r="AB49" s="36"/>
    </row>
    <row r="50">
      <c r="A50" s="24"/>
      <c r="B50" s="75" t="s">
        <v>264</v>
      </c>
      <c r="C50" s="27">
        <v>1.0</v>
      </c>
      <c r="D50" s="24"/>
      <c r="E50" s="75">
        <v>3.0</v>
      </c>
      <c r="F50" s="75" t="s">
        <v>36</v>
      </c>
      <c r="G50" s="30">
        <v>0.1</v>
      </c>
      <c r="H50" s="27">
        <f t="shared" ref="H50:I50" si="24">IF($F50="Recurring",IF(H$2&gt;=$E50,$C50*(1+$G50)^FLOOR((H$2-$E50)/3,1),0),IF(H$2=$E50,$C50,0))</f>
        <v>0</v>
      </c>
      <c r="I50" s="27">
        <f t="shared" si="24"/>
        <v>0</v>
      </c>
      <c r="J50" s="27">
        <v>1.0</v>
      </c>
      <c r="K50" s="27">
        <v>1.0</v>
      </c>
      <c r="L50" s="27">
        <v>1.0</v>
      </c>
      <c r="M50" s="27">
        <v>1.0</v>
      </c>
      <c r="N50" s="27">
        <v>1.0</v>
      </c>
      <c r="O50" s="27">
        <v>1.0</v>
      </c>
      <c r="P50" s="27">
        <v>2.0</v>
      </c>
      <c r="Q50" s="27">
        <v>2.0</v>
      </c>
      <c r="R50" s="27">
        <v>2.0</v>
      </c>
      <c r="S50" s="27">
        <v>2.0</v>
      </c>
      <c r="T50" s="27">
        <v>2.0</v>
      </c>
      <c r="U50" s="27">
        <v>2.0</v>
      </c>
      <c r="V50" s="27">
        <v>3.0</v>
      </c>
      <c r="W50" s="27">
        <v>3.0</v>
      </c>
      <c r="X50" s="27">
        <v>3.0</v>
      </c>
      <c r="Y50" s="27">
        <v>3.0</v>
      </c>
      <c r="Z50" s="27">
        <f t="shared" si="23"/>
        <v>30</v>
      </c>
      <c r="AA50" s="35"/>
      <c r="AB50" s="36"/>
    </row>
    <row r="51">
      <c r="A51" s="40"/>
      <c r="B51" s="40"/>
      <c r="C51" s="41"/>
      <c r="D51" s="40"/>
      <c r="E51" s="40"/>
      <c r="F51" s="40"/>
      <c r="G51" s="42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4">
        <f>SUM(Z48:Z50)</f>
        <v>213.8994597</v>
      </c>
      <c r="AB51" s="12"/>
    </row>
    <row r="52">
      <c r="A52" s="13" t="s">
        <v>265</v>
      </c>
      <c r="B52" s="14"/>
      <c r="C52" s="16"/>
      <c r="D52" s="14"/>
      <c r="E52" s="14"/>
      <c r="F52" s="14"/>
      <c r="G52" s="18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22"/>
      <c r="AB52" s="12"/>
    </row>
    <row r="53">
      <c r="A53" s="24"/>
      <c r="B53" s="25" t="s">
        <v>266</v>
      </c>
      <c r="C53" s="27">
        <v>2.5</v>
      </c>
      <c r="D53" s="29" t="s">
        <v>202</v>
      </c>
      <c r="E53" s="25">
        <v>2.0</v>
      </c>
      <c r="F53" s="25" t="s">
        <v>36</v>
      </c>
      <c r="G53" s="30">
        <v>0.0</v>
      </c>
      <c r="H53" s="27">
        <f t="shared" ref="H53:H56" si="25">IF($F53="Recurring",IF(H$2&gt;=$E53,$C53*(1+$G53)^FLOOR((H$2-$E53)/3,1),0),IF(H$2=$E53,$C53,0))</f>
        <v>0</v>
      </c>
      <c r="I53" s="27">
        <v>2.5</v>
      </c>
      <c r="J53" s="27">
        <v>2.5</v>
      </c>
      <c r="K53" s="27">
        <v>2.5</v>
      </c>
      <c r="L53" s="27">
        <v>2.5</v>
      </c>
      <c r="M53" s="27">
        <v>2.5</v>
      </c>
      <c r="N53" s="27">
        <v>2.5</v>
      </c>
      <c r="O53" s="27">
        <v>2.5</v>
      </c>
      <c r="P53" s="27">
        <v>2.5</v>
      </c>
      <c r="Q53" s="27">
        <v>2.5</v>
      </c>
      <c r="R53" s="27">
        <v>2.5</v>
      </c>
      <c r="S53" s="27">
        <v>2.5</v>
      </c>
      <c r="T53" s="27">
        <v>2.5</v>
      </c>
      <c r="U53" s="27">
        <v>2.5</v>
      </c>
      <c r="V53" s="27">
        <v>2.5</v>
      </c>
      <c r="W53" s="27">
        <v>2.5</v>
      </c>
      <c r="X53" s="27">
        <v>2.5</v>
      </c>
      <c r="Y53" s="27">
        <v>2.5</v>
      </c>
      <c r="Z53" s="27">
        <f t="shared" ref="Z53:Z56" si="27">SUM(H53:Y53)</f>
        <v>42.5</v>
      </c>
      <c r="AA53" s="35"/>
      <c r="AB53" s="36"/>
    </row>
    <row r="54">
      <c r="A54" s="24"/>
      <c r="B54" s="25" t="s">
        <v>267</v>
      </c>
      <c r="C54" s="27">
        <v>0.0</v>
      </c>
      <c r="D54" s="29" t="s">
        <v>268</v>
      </c>
      <c r="E54" s="25">
        <v>3.0</v>
      </c>
      <c r="F54" s="25" t="s">
        <v>36</v>
      </c>
      <c r="G54" s="30">
        <v>0.0</v>
      </c>
      <c r="H54" s="27">
        <f t="shared" si="25"/>
        <v>0</v>
      </c>
      <c r="I54" s="27">
        <f t="shared" ref="I54:Y54" si="26">IF($F54="Recurring",IF(I$2&gt;=$E54,$C54*(1+$G54)^FLOOR((I$2-$E54)/3,1),0),IF(I$2=$E54,$C54,0))</f>
        <v>0</v>
      </c>
      <c r="J54" s="27">
        <f t="shared" si="26"/>
        <v>0</v>
      </c>
      <c r="K54" s="27">
        <f t="shared" si="26"/>
        <v>0</v>
      </c>
      <c r="L54" s="27">
        <f t="shared" si="26"/>
        <v>0</v>
      </c>
      <c r="M54" s="27">
        <f t="shared" si="26"/>
        <v>0</v>
      </c>
      <c r="N54" s="27">
        <f t="shared" si="26"/>
        <v>0</v>
      </c>
      <c r="O54" s="27">
        <f t="shared" si="26"/>
        <v>0</v>
      </c>
      <c r="P54" s="27">
        <f t="shared" si="26"/>
        <v>0</v>
      </c>
      <c r="Q54" s="27">
        <f t="shared" si="26"/>
        <v>0</v>
      </c>
      <c r="R54" s="27">
        <f t="shared" si="26"/>
        <v>0</v>
      </c>
      <c r="S54" s="27">
        <f t="shared" si="26"/>
        <v>0</v>
      </c>
      <c r="T54" s="27">
        <f t="shared" si="26"/>
        <v>0</v>
      </c>
      <c r="U54" s="27">
        <f t="shared" si="26"/>
        <v>0</v>
      </c>
      <c r="V54" s="27">
        <f t="shared" si="26"/>
        <v>0</v>
      </c>
      <c r="W54" s="27">
        <f t="shared" si="26"/>
        <v>0</v>
      </c>
      <c r="X54" s="27">
        <f t="shared" si="26"/>
        <v>0</v>
      </c>
      <c r="Y54" s="27">
        <f t="shared" si="26"/>
        <v>0</v>
      </c>
      <c r="Z54" s="27">
        <f t="shared" si="27"/>
        <v>0</v>
      </c>
      <c r="AA54" s="35"/>
      <c r="AB54" s="36"/>
    </row>
    <row r="55">
      <c r="A55" s="24"/>
      <c r="B55" s="25" t="s">
        <v>269</v>
      </c>
      <c r="C55" s="27">
        <v>0.6</v>
      </c>
      <c r="D55" s="29" t="s">
        <v>210</v>
      </c>
      <c r="E55" s="25">
        <v>3.0</v>
      </c>
      <c r="F55" s="25" t="s">
        <v>36</v>
      </c>
      <c r="G55" s="30">
        <v>0.0</v>
      </c>
      <c r="H55" s="27">
        <f t="shared" si="25"/>
        <v>0</v>
      </c>
      <c r="I55" s="27">
        <f t="shared" ref="I55:I56" si="28">IF($F55="Recurring",IF(I$2&gt;=$E55,$C55*(1+$G55)^FLOOR((I$2-$E55)/3,1),0),IF(I$2=$E55,$C55,0))</f>
        <v>0</v>
      </c>
      <c r="J55" s="27">
        <v>0.6</v>
      </c>
      <c r="K55" s="27">
        <v>0.6</v>
      </c>
      <c r="L55" s="27">
        <v>0.6</v>
      </c>
      <c r="M55" s="27">
        <v>0.6</v>
      </c>
      <c r="N55" s="27">
        <v>0.6</v>
      </c>
      <c r="O55" s="27">
        <v>0.6</v>
      </c>
      <c r="P55" s="27">
        <v>0.6</v>
      </c>
      <c r="Q55" s="27">
        <v>0.6</v>
      </c>
      <c r="R55" s="27">
        <v>0.6</v>
      </c>
      <c r="S55" s="27">
        <v>0.6</v>
      </c>
      <c r="T55" s="27">
        <v>0.6</v>
      </c>
      <c r="U55" s="27">
        <v>0.6</v>
      </c>
      <c r="V55" s="27">
        <v>0.6</v>
      </c>
      <c r="W55" s="27">
        <v>0.6</v>
      </c>
      <c r="X55" s="27">
        <v>0.6</v>
      </c>
      <c r="Y55" s="27">
        <v>0.6</v>
      </c>
      <c r="Z55" s="27">
        <f t="shared" si="27"/>
        <v>9.6</v>
      </c>
      <c r="AA55" s="35"/>
      <c r="AB55" s="36"/>
    </row>
    <row r="56">
      <c r="A56" s="24"/>
      <c r="B56" s="25" t="s">
        <v>270</v>
      </c>
      <c r="C56" s="27">
        <v>0.0</v>
      </c>
      <c r="D56" s="29" t="s">
        <v>271</v>
      </c>
      <c r="E56" s="25">
        <v>6.0</v>
      </c>
      <c r="F56" s="25" t="s">
        <v>36</v>
      </c>
      <c r="G56" s="30">
        <v>0.0</v>
      </c>
      <c r="H56" s="27">
        <f t="shared" si="25"/>
        <v>0</v>
      </c>
      <c r="I56" s="27">
        <f t="shared" si="28"/>
        <v>0</v>
      </c>
      <c r="J56" s="27">
        <f t="shared" ref="J56:Y56" si="29">IF($F56="Recurring",IF(J$2&gt;=$E56,$C56*(1+$G56)^FLOOR((J$2-$E56)/3,1),0),IF(J$2=$E56,$C56,0))</f>
        <v>0</v>
      </c>
      <c r="K56" s="27">
        <f t="shared" si="29"/>
        <v>0</v>
      </c>
      <c r="L56" s="27">
        <f t="shared" si="29"/>
        <v>0</v>
      </c>
      <c r="M56" s="27">
        <f t="shared" si="29"/>
        <v>0</v>
      </c>
      <c r="N56" s="27">
        <f t="shared" si="29"/>
        <v>0</v>
      </c>
      <c r="O56" s="27">
        <f t="shared" si="29"/>
        <v>0</v>
      </c>
      <c r="P56" s="27">
        <f t="shared" si="29"/>
        <v>0</v>
      </c>
      <c r="Q56" s="27">
        <f t="shared" si="29"/>
        <v>0</v>
      </c>
      <c r="R56" s="27">
        <f t="shared" si="29"/>
        <v>0</v>
      </c>
      <c r="S56" s="27">
        <f t="shared" si="29"/>
        <v>0</v>
      </c>
      <c r="T56" s="27">
        <f t="shared" si="29"/>
        <v>0</v>
      </c>
      <c r="U56" s="27">
        <f t="shared" si="29"/>
        <v>0</v>
      </c>
      <c r="V56" s="27">
        <f t="shared" si="29"/>
        <v>0</v>
      </c>
      <c r="W56" s="27">
        <f t="shared" si="29"/>
        <v>0</v>
      </c>
      <c r="X56" s="27">
        <f t="shared" si="29"/>
        <v>0</v>
      </c>
      <c r="Y56" s="27">
        <f t="shared" si="29"/>
        <v>0</v>
      </c>
      <c r="Z56" s="27">
        <f t="shared" si="27"/>
        <v>0</v>
      </c>
      <c r="AA56" s="35"/>
      <c r="AB56" s="36"/>
    </row>
    <row r="57">
      <c r="A57" s="40"/>
      <c r="B57" s="40"/>
      <c r="C57" s="41"/>
      <c r="D57" s="40"/>
      <c r="E57" s="40"/>
      <c r="F57" s="40"/>
      <c r="G57" s="42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4">
        <f>SUM(Z53:Z56)</f>
        <v>52.1</v>
      </c>
      <c r="AB57" s="12"/>
    </row>
    <row r="58">
      <c r="A58" s="70" t="s">
        <v>272</v>
      </c>
      <c r="B58" s="71"/>
      <c r="C58" s="16"/>
      <c r="D58" s="14"/>
      <c r="E58" s="14"/>
      <c r="F58" s="14"/>
      <c r="G58" s="18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22"/>
      <c r="AB58" s="12"/>
    </row>
    <row r="59">
      <c r="A59" s="76" t="s">
        <v>93</v>
      </c>
      <c r="B59" s="25" t="s">
        <v>273</v>
      </c>
      <c r="C59" s="27">
        <v>2.0</v>
      </c>
      <c r="D59" s="29" t="s">
        <v>246</v>
      </c>
      <c r="E59" s="25">
        <v>1.0</v>
      </c>
      <c r="F59" s="25" t="s">
        <v>36</v>
      </c>
      <c r="G59" s="30">
        <v>0.0</v>
      </c>
      <c r="H59" s="27">
        <v>2.0</v>
      </c>
      <c r="I59" s="27">
        <v>2.0</v>
      </c>
      <c r="J59" s="27">
        <v>2.0</v>
      </c>
      <c r="K59" s="27">
        <v>2.0</v>
      </c>
      <c r="L59" s="27">
        <v>2.0</v>
      </c>
      <c r="M59" s="27">
        <v>2.0</v>
      </c>
      <c r="N59" s="27">
        <v>2.0</v>
      </c>
      <c r="O59" s="27">
        <v>2.0</v>
      </c>
      <c r="P59" s="27">
        <v>2.0</v>
      </c>
      <c r="Q59" s="27">
        <v>2.0</v>
      </c>
      <c r="R59" s="27">
        <v>2.0</v>
      </c>
      <c r="S59" s="27">
        <v>2.0</v>
      </c>
      <c r="T59" s="27">
        <v>2.0</v>
      </c>
      <c r="U59" s="27">
        <v>2.0</v>
      </c>
      <c r="V59" s="27">
        <v>2.0</v>
      </c>
      <c r="W59" s="27">
        <v>2.0</v>
      </c>
      <c r="X59" s="27">
        <v>2.0</v>
      </c>
      <c r="Y59" s="27">
        <v>2.0</v>
      </c>
      <c r="Z59" s="27">
        <f t="shared" ref="Z59:Z68" si="31">SUM(H59:Y59)</f>
        <v>36</v>
      </c>
      <c r="AA59" s="35"/>
      <c r="AB59" s="36"/>
    </row>
    <row r="60">
      <c r="A60" s="24"/>
      <c r="B60" s="25" t="s">
        <v>274</v>
      </c>
      <c r="C60" s="27">
        <v>0.3</v>
      </c>
      <c r="D60" s="29" t="s">
        <v>246</v>
      </c>
      <c r="E60" s="25">
        <v>1.0</v>
      </c>
      <c r="F60" s="25" t="s">
        <v>275</v>
      </c>
      <c r="G60" s="30">
        <v>0.0</v>
      </c>
      <c r="H60" s="27">
        <v>0.3</v>
      </c>
      <c r="I60" s="27">
        <f t="shared" ref="I60:Y60" si="30">IF($F60="Recurring",IF(I$2&gt;=$E60,$C60*(1+$G60)^FLOOR((I$2-$E60)/3,1),0),IF(I$2=$E60,$C60,0))</f>
        <v>0</v>
      </c>
      <c r="J60" s="27">
        <f t="shared" si="30"/>
        <v>0</v>
      </c>
      <c r="K60" s="27">
        <f t="shared" si="30"/>
        <v>0</v>
      </c>
      <c r="L60" s="27">
        <f t="shared" si="30"/>
        <v>0</v>
      </c>
      <c r="M60" s="27">
        <f t="shared" si="30"/>
        <v>0</v>
      </c>
      <c r="N60" s="27">
        <f t="shared" si="30"/>
        <v>0</v>
      </c>
      <c r="O60" s="27">
        <f t="shared" si="30"/>
        <v>0</v>
      </c>
      <c r="P60" s="27">
        <f t="shared" si="30"/>
        <v>0</v>
      </c>
      <c r="Q60" s="27">
        <f t="shared" si="30"/>
        <v>0</v>
      </c>
      <c r="R60" s="27">
        <f t="shared" si="30"/>
        <v>0</v>
      </c>
      <c r="S60" s="27">
        <f t="shared" si="30"/>
        <v>0</v>
      </c>
      <c r="T60" s="27">
        <f t="shared" si="30"/>
        <v>0</v>
      </c>
      <c r="U60" s="27">
        <f t="shared" si="30"/>
        <v>0</v>
      </c>
      <c r="V60" s="27">
        <f t="shared" si="30"/>
        <v>0</v>
      </c>
      <c r="W60" s="27">
        <f t="shared" si="30"/>
        <v>0</v>
      </c>
      <c r="X60" s="27">
        <f t="shared" si="30"/>
        <v>0</v>
      </c>
      <c r="Y60" s="27">
        <f t="shared" si="30"/>
        <v>0</v>
      </c>
      <c r="Z60" s="27">
        <f t="shared" si="31"/>
        <v>0.3</v>
      </c>
      <c r="AA60" s="35"/>
      <c r="AB60" s="36"/>
    </row>
    <row r="61">
      <c r="A61" s="24"/>
      <c r="B61" s="25" t="s">
        <v>276</v>
      </c>
      <c r="C61" s="27">
        <v>0.2</v>
      </c>
      <c r="D61" s="29" t="s">
        <v>246</v>
      </c>
      <c r="E61" s="25">
        <v>1.0</v>
      </c>
      <c r="F61" s="25" t="s">
        <v>275</v>
      </c>
      <c r="G61" s="30">
        <v>0.0</v>
      </c>
      <c r="H61" s="27">
        <v>0.2</v>
      </c>
      <c r="I61" s="65">
        <v>0.0</v>
      </c>
      <c r="J61" s="65">
        <v>0.0</v>
      </c>
      <c r="K61" s="65">
        <v>0.0</v>
      </c>
      <c r="L61" s="65">
        <v>0.0</v>
      </c>
      <c r="M61" s="65">
        <v>0.0</v>
      </c>
      <c r="N61" s="65">
        <v>0.0</v>
      </c>
      <c r="O61" s="65">
        <v>0.0</v>
      </c>
      <c r="P61" s="65">
        <v>0.0</v>
      </c>
      <c r="Q61" s="65">
        <v>0.0</v>
      </c>
      <c r="R61" s="65">
        <v>0.0</v>
      </c>
      <c r="S61" s="65">
        <v>0.0</v>
      </c>
      <c r="T61" s="65">
        <v>0.0</v>
      </c>
      <c r="U61" s="65">
        <v>0.0</v>
      </c>
      <c r="V61" s="65">
        <v>0.0</v>
      </c>
      <c r="W61" s="65">
        <v>0.0</v>
      </c>
      <c r="X61" s="65">
        <v>0.0</v>
      </c>
      <c r="Y61" s="65">
        <v>0.0</v>
      </c>
      <c r="Z61" s="27">
        <f t="shared" si="31"/>
        <v>0.2</v>
      </c>
      <c r="AA61" s="35"/>
      <c r="AB61" s="36"/>
    </row>
    <row r="62">
      <c r="A62" s="25" t="s">
        <v>277</v>
      </c>
      <c r="B62" s="25" t="s">
        <v>278</v>
      </c>
      <c r="C62" s="27">
        <v>0.4</v>
      </c>
      <c r="D62" s="29" t="s">
        <v>246</v>
      </c>
      <c r="E62" s="25">
        <v>1.0</v>
      </c>
      <c r="F62" s="25" t="s">
        <v>36</v>
      </c>
      <c r="G62" s="30">
        <v>0.0</v>
      </c>
      <c r="H62" s="27">
        <v>0.4</v>
      </c>
      <c r="I62" s="27">
        <v>0.4</v>
      </c>
      <c r="J62" s="27">
        <v>0.4</v>
      </c>
      <c r="K62" s="27">
        <v>0.4</v>
      </c>
      <c r="L62" s="27">
        <v>0.4</v>
      </c>
      <c r="M62" s="27">
        <v>0.4</v>
      </c>
      <c r="N62" s="27">
        <v>0.4</v>
      </c>
      <c r="O62" s="27">
        <v>0.4</v>
      </c>
      <c r="P62" s="27">
        <v>0.4</v>
      </c>
      <c r="Q62" s="27">
        <v>0.4</v>
      </c>
      <c r="R62" s="27">
        <v>0.4</v>
      </c>
      <c r="S62" s="27">
        <v>0.4</v>
      </c>
      <c r="T62" s="27">
        <v>0.4</v>
      </c>
      <c r="U62" s="27">
        <v>0.4</v>
      </c>
      <c r="V62" s="27">
        <v>0.4</v>
      </c>
      <c r="W62" s="27">
        <v>0.4</v>
      </c>
      <c r="X62" s="27">
        <v>0.4</v>
      </c>
      <c r="Y62" s="27">
        <v>0.4</v>
      </c>
      <c r="Z62" s="27">
        <f t="shared" si="31"/>
        <v>7.2</v>
      </c>
      <c r="AA62" s="35"/>
      <c r="AB62" s="36"/>
    </row>
    <row r="63">
      <c r="A63" s="25" t="s">
        <v>279</v>
      </c>
      <c r="B63" s="25" t="s">
        <v>280</v>
      </c>
      <c r="C63" s="27">
        <v>0.0</v>
      </c>
      <c r="D63" s="29" t="s">
        <v>281</v>
      </c>
      <c r="E63" s="25">
        <v>3.0</v>
      </c>
      <c r="F63" s="25" t="s">
        <v>36</v>
      </c>
      <c r="G63" s="30">
        <v>0.0</v>
      </c>
      <c r="H63" s="27">
        <v>0.0</v>
      </c>
      <c r="I63" s="27">
        <v>0.0</v>
      </c>
      <c r="J63" s="27">
        <v>0.0</v>
      </c>
      <c r="K63" s="27">
        <v>0.0</v>
      </c>
      <c r="L63" s="27">
        <v>0.0</v>
      </c>
      <c r="M63" s="27">
        <v>0.0</v>
      </c>
      <c r="N63" s="27">
        <v>0.0</v>
      </c>
      <c r="O63" s="27">
        <v>0.0</v>
      </c>
      <c r="P63" s="27">
        <v>0.0</v>
      </c>
      <c r="Q63" s="27">
        <v>0.0</v>
      </c>
      <c r="R63" s="27">
        <v>0.0</v>
      </c>
      <c r="S63" s="27">
        <v>0.0</v>
      </c>
      <c r="T63" s="27">
        <v>0.0</v>
      </c>
      <c r="U63" s="27">
        <v>0.0</v>
      </c>
      <c r="V63" s="27">
        <v>0.0</v>
      </c>
      <c r="W63" s="27">
        <v>0.0</v>
      </c>
      <c r="X63" s="27">
        <v>0.0</v>
      </c>
      <c r="Y63" s="27">
        <v>0.0</v>
      </c>
      <c r="Z63" s="27">
        <f t="shared" si="31"/>
        <v>0</v>
      </c>
      <c r="AA63" s="35"/>
      <c r="AB63" s="36"/>
    </row>
    <row r="64">
      <c r="A64" s="24"/>
      <c r="B64" s="25" t="s">
        <v>282</v>
      </c>
      <c r="C64" s="27">
        <v>0.25</v>
      </c>
      <c r="D64" s="29" t="s">
        <v>246</v>
      </c>
      <c r="E64" s="25">
        <v>1.0</v>
      </c>
      <c r="F64" s="25" t="s">
        <v>36</v>
      </c>
      <c r="G64" s="30">
        <v>0.0</v>
      </c>
      <c r="H64" s="27">
        <v>0.25</v>
      </c>
      <c r="I64" s="27">
        <v>0.25</v>
      </c>
      <c r="J64" s="27">
        <v>0.25</v>
      </c>
      <c r="K64" s="27">
        <v>0.25</v>
      </c>
      <c r="L64" s="27">
        <v>0.25</v>
      </c>
      <c r="M64" s="27">
        <v>0.25</v>
      </c>
      <c r="N64" s="27">
        <v>0.25</v>
      </c>
      <c r="O64" s="27">
        <v>0.25</v>
      </c>
      <c r="P64" s="27">
        <v>0.25</v>
      </c>
      <c r="Q64" s="27">
        <v>0.25</v>
      </c>
      <c r="R64" s="27">
        <v>0.25</v>
      </c>
      <c r="S64" s="27">
        <v>0.25</v>
      </c>
      <c r="T64" s="27">
        <v>0.25</v>
      </c>
      <c r="U64" s="27">
        <v>0.25</v>
      </c>
      <c r="V64" s="27">
        <v>0.25</v>
      </c>
      <c r="W64" s="27">
        <v>0.25</v>
      </c>
      <c r="X64" s="27">
        <v>0.25</v>
      </c>
      <c r="Y64" s="27">
        <v>0.25</v>
      </c>
      <c r="Z64" s="27">
        <f t="shared" si="31"/>
        <v>4.5</v>
      </c>
      <c r="AA64" s="35"/>
      <c r="AB64" s="36"/>
    </row>
    <row r="65">
      <c r="A65" s="24"/>
      <c r="B65" s="25" t="s">
        <v>283</v>
      </c>
      <c r="C65" s="27">
        <v>1.0</v>
      </c>
      <c r="D65" s="29" t="s">
        <v>246</v>
      </c>
      <c r="E65" s="25">
        <v>1.0</v>
      </c>
      <c r="F65" s="25" t="s">
        <v>275</v>
      </c>
      <c r="G65" s="30">
        <v>0.0</v>
      </c>
      <c r="H65" s="27">
        <v>1.0</v>
      </c>
      <c r="I65" s="65">
        <v>0.0</v>
      </c>
      <c r="J65" s="65">
        <v>0.0</v>
      </c>
      <c r="K65" s="65">
        <v>0.0</v>
      </c>
      <c r="L65" s="65">
        <v>0.0</v>
      </c>
      <c r="M65" s="65">
        <v>0.0</v>
      </c>
      <c r="N65" s="65">
        <v>0.0</v>
      </c>
      <c r="O65" s="65">
        <v>0.0</v>
      </c>
      <c r="P65" s="65">
        <v>0.0</v>
      </c>
      <c r="Q65" s="65">
        <v>0.0</v>
      </c>
      <c r="R65" s="65">
        <v>0.0</v>
      </c>
      <c r="S65" s="65">
        <v>0.0</v>
      </c>
      <c r="T65" s="65">
        <v>0.0</v>
      </c>
      <c r="U65" s="65">
        <v>0.0</v>
      </c>
      <c r="V65" s="65">
        <v>0.0</v>
      </c>
      <c r="W65" s="65">
        <v>0.0</v>
      </c>
      <c r="X65" s="65">
        <v>0.0</v>
      </c>
      <c r="Y65" s="65">
        <v>0.0</v>
      </c>
      <c r="Z65" s="27">
        <f t="shared" si="31"/>
        <v>1</v>
      </c>
      <c r="AA65" s="35"/>
      <c r="AB65" s="36"/>
    </row>
    <row r="66">
      <c r="A66" s="24"/>
      <c r="B66" s="25" t="s">
        <v>284</v>
      </c>
      <c r="C66" s="27">
        <v>1.0</v>
      </c>
      <c r="D66" s="29" t="s">
        <v>246</v>
      </c>
      <c r="E66" s="25">
        <v>1.0</v>
      </c>
      <c r="F66" s="25" t="s">
        <v>36</v>
      </c>
      <c r="G66" s="30">
        <v>0.0</v>
      </c>
      <c r="H66" s="27">
        <v>1.0</v>
      </c>
      <c r="I66" s="27">
        <v>1.0</v>
      </c>
      <c r="J66" s="27">
        <v>1.0</v>
      </c>
      <c r="K66" s="27">
        <v>1.0</v>
      </c>
      <c r="L66" s="27">
        <v>1.0</v>
      </c>
      <c r="M66" s="27">
        <v>1.0</v>
      </c>
      <c r="N66" s="27">
        <v>1.0</v>
      </c>
      <c r="O66" s="27">
        <v>1.0</v>
      </c>
      <c r="P66" s="27">
        <v>1.0</v>
      </c>
      <c r="Q66" s="27">
        <v>1.0</v>
      </c>
      <c r="R66" s="27">
        <v>1.0</v>
      </c>
      <c r="S66" s="27">
        <v>1.0</v>
      </c>
      <c r="T66" s="27">
        <v>1.0</v>
      </c>
      <c r="U66" s="27">
        <v>1.0</v>
      </c>
      <c r="V66" s="27">
        <v>1.0</v>
      </c>
      <c r="W66" s="27">
        <v>1.0</v>
      </c>
      <c r="X66" s="27">
        <v>1.0</v>
      </c>
      <c r="Y66" s="27">
        <v>1.0</v>
      </c>
      <c r="Z66" s="27">
        <f t="shared" si="31"/>
        <v>18</v>
      </c>
      <c r="AA66" s="35"/>
      <c r="AB66" s="36"/>
    </row>
    <row r="67">
      <c r="A67" s="24"/>
      <c r="B67" s="25" t="s">
        <v>285</v>
      </c>
      <c r="C67" s="27">
        <v>0.0</v>
      </c>
      <c r="D67" s="29" t="s">
        <v>281</v>
      </c>
      <c r="E67" s="25">
        <v>3.0</v>
      </c>
      <c r="F67" s="25" t="s">
        <v>36</v>
      </c>
      <c r="G67" s="30">
        <v>0.0</v>
      </c>
      <c r="H67" s="27">
        <f t="shared" ref="H67:Y67" si="32">IF($F67="Recurring",IF(H$2&gt;=$E67,$C67*(1+$G67)^FLOOR((H$2-$E67)/3,1),0),IF(H$2=$E67,$C67,0))</f>
        <v>0</v>
      </c>
      <c r="I67" s="27">
        <f t="shared" si="32"/>
        <v>0</v>
      </c>
      <c r="J67" s="27">
        <f t="shared" si="32"/>
        <v>0</v>
      </c>
      <c r="K67" s="27">
        <f t="shared" si="32"/>
        <v>0</v>
      </c>
      <c r="L67" s="27">
        <f t="shared" si="32"/>
        <v>0</v>
      </c>
      <c r="M67" s="27">
        <f t="shared" si="32"/>
        <v>0</v>
      </c>
      <c r="N67" s="27">
        <f t="shared" si="32"/>
        <v>0</v>
      </c>
      <c r="O67" s="27">
        <f t="shared" si="32"/>
        <v>0</v>
      </c>
      <c r="P67" s="27">
        <f t="shared" si="32"/>
        <v>0</v>
      </c>
      <c r="Q67" s="27">
        <f t="shared" si="32"/>
        <v>0</v>
      </c>
      <c r="R67" s="27">
        <f t="shared" si="32"/>
        <v>0</v>
      </c>
      <c r="S67" s="27">
        <f t="shared" si="32"/>
        <v>0</v>
      </c>
      <c r="T67" s="27">
        <f t="shared" si="32"/>
        <v>0</v>
      </c>
      <c r="U67" s="27">
        <f t="shared" si="32"/>
        <v>0</v>
      </c>
      <c r="V67" s="27">
        <f t="shared" si="32"/>
        <v>0</v>
      </c>
      <c r="W67" s="27">
        <f t="shared" si="32"/>
        <v>0</v>
      </c>
      <c r="X67" s="27">
        <f t="shared" si="32"/>
        <v>0</v>
      </c>
      <c r="Y67" s="27">
        <f t="shared" si="32"/>
        <v>0</v>
      </c>
      <c r="Z67" s="27">
        <f t="shared" si="31"/>
        <v>0</v>
      </c>
      <c r="AA67" s="35"/>
      <c r="AB67" s="36"/>
    </row>
    <row r="68">
      <c r="A68" s="24"/>
      <c r="B68" s="25" t="s">
        <v>286</v>
      </c>
      <c r="C68" s="27">
        <v>0.5</v>
      </c>
      <c r="D68" s="29" t="s">
        <v>246</v>
      </c>
      <c r="E68" s="25">
        <v>1.0</v>
      </c>
      <c r="F68" s="25" t="s">
        <v>36</v>
      </c>
      <c r="G68" s="30">
        <v>0.0</v>
      </c>
      <c r="H68" s="27">
        <v>0.5</v>
      </c>
      <c r="I68" s="27">
        <v>0.5</v>
      </c>
      <c r="J68" s="27">
        <v>0.5</v>
      </c>
      <c r="K68" s="27">
        <v>0.5</v>
      </c>
      <c r="L68" s="27">
        <v>0.5</v>
      </c>
      <c r="M68" s="27">
        <v>0.5</v>
      </c>
      <c r="N68" s="27">
        <v>0.5</v>
      </c>
      <c r="O68" s="27">
        <v>0.5</v>
      </c>
      <c r="P68" s="27">
        <v>0.5</v>
      </c>
      <c r="Q68" s="27">
        <v>0.5</v>
      </c>
      <c r="R68" s="27">
        <v>0.5</v>
      </c>
      <c r="S68" s="27">
        <v>0.5</v>
      </c>
      <c r="T68" s="27">
        <v>0.5</v>
      </c>
      <c r="U68" s="27">
        <v>0.5</v>
      </c>
      <c r="V68" s="27">
        <v>0.5</v>
      </c>
      <c r="W68" s="27">
        <v>0.5</v>
      </c>
      <c r="X68" s="27">
        <v>0.5</v>
      </c>
      <c r="Y68" s="27">
        <v>0.5</v>
      </c>
      <c r="Z68" s="27">
        <f t="shared" si="31"/>
        <v>9</v>
      </c>
      <c r="AA68" s="35"/>
      <c r="AB68" s="36"/>
    </row>
    <row r="69">
      <c r="A69" s="40"/>
      <c r="B69" s="40"/>
      <c r="C69" s="41"/>
      <c r="D69" s="40"/>
      <c r="E69" s="40"/>
      <c r="F69" s="40"/>
      <c r="G69" s="42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4">
        <f>SUM(Z59:Z68)</f>
        <v>76.2</v>
      </c>
      <c r="AB69" s="12"/>
    </row>
    <row r="70">
      <c r="A70" s="70" t="s">
        <v>287</v>
      </c>
      <c r="B70" s="71"/>
      <c r="C70" s="16"/>
      <c r="D70" s="14"/>
      <c r="E70" s="14"/>
      <c r="F70" s="14"/>
      <c r="G70" s="18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22"/>
      <c r="AB70" s="12"/>
    </row>
    <row r="71">
      <c r="A71" s="24"/>
      <c r="B71" s="25" t="s">
        <v>288</v>
      </c>
      <c r="C71" s="27">
        <v>0.25</v>
      </c>
      <c r="D71" s="29" t="s">
        <v>289</v>
      </c>
      <c r="E71" s="25">
        <v>7.0</v>
      </c>
      <c r="F71" s="25" t="s">
        <v>275</v>
      </c>
      <c r="G71" s="30">
        <v>0.0</v>
      </c>
      <c r="H71" s="27">
        <f t="shared" ref="H71:M71" si="33">IF($F71="Recurring",IF(H$2&gt;=$E71,$C71*(1+$G71)^FLOOR((H$2-$E71)/3,1),0),IF(H$2=$E71,$C71,0))</f>
        <v>0</v>
      </c>
      <c r="I71" s="27">
        <f t="shared" si="33"/>
        <v>0</v>
      </c>
      <c r="J71" s="27">
        <f t="shared" si="33"/>
        <v>0</v>
      </c>
      <c r="K71" s="27">
        <f t="shared" si="33"/>
        <v>0</v>
      </c>
      <c r="L71" s="27">
        <f t="shared" si="33"/>
        <v>0</v>
      </c>
      <c r="M71" s="27">
        <f t="shared" si="33"/>
        <v>0</v>
      </c>
      <c r="N71" s="27">
        <v>0.25</v>
      </c>
      <c r="O71" s="27">
        <f t="shared" ref="O71:Y71" si="34">IF($F71="Recurring",IF(O$2&gt;=$E71,$C71*(1+$G71)^FLOOR((O$2-$E71)/3,1),0),IF(O$2=$E71,$C71,0))</f>
        <v>0</v>
      </c>
      <c r="P71" s="27">
        <f t="shared" si="34"/>
        <v>0</v>
      </c>
      <c r="Q71" s="27">
        <f t="shared" si="34"/>
        <v>0</v>
      </c>
      <c r="R71" s="27">
        <f t="shared" si="34"/>
        <v>0</v>
      </c>
      <c r="S71" s="27">
        <f t="shared" si="34"/>
        <v>0</v>
      </c>
      <c r="T71" s="27">
        <f t="shared" si="34"/>
        <v>0</v>
      </c>
      <c r="U71" s="27">
        <f t="shared" si="34"/>
        <v>0</v>
      </c>
      <c r="V71" s="27">
        <f t="shared" si="34"/>
        <v>0</v>
      </c>
      <c r="W71" s="27">
        <f t="shared" si="34"/>
        <v>0</v>
      </c>
      <c r="X71" s="27">
        <f t="shared" si="34"/>
        <v>0</v>
      </c>
      <c r="Y71" s="27">
        <f t="shared" si="34"/>
        <v>0</v>
      </c>
      <c r="Z71" s="27">
        <f t="shared" ref="Z71:Z80" si="37">SUM(H71:Y71)</f>
        <v>0.25</v>
      </c>
      <c r="AA71" s="35"/>
      <c r="AB71" s="36"/>
    </row>
    <row r="72">
      <c r="A72" s="24"/>
      <c r="B72" s="25" t="s">
        <v>290</v>
      </c>
      <c r="C72" s="27">
        <v>2.0</v>
      </c>
      <c r="D72" s="29" t="s">
        <v>291</v>
      </c>
      <c r="E72" s="25">
        <v>5.0</v>
      </c>
      <c r="F72" s="25" t="s">
        <v>275</v>
      </c>
      <c r="G72" s="30">
        <v>0.0</v>
      </c>
      <c r="H72" s="27">
        <f t="shared" ref="H72:K72" si="35">IF($F72="Recurring",IF(H$2&gt;=$E72,$C72*(1+$G72)^FLOOR((H$2-$E72)/3,1),0),IF(H$2=$E72,$C72,0))</f>
        <v>0</v>
      </c>
      <c r="I72" s="27">
        <f t="shared" si="35"/>
        <v>0</v>
      </c>
      <c r="J72" s="27">
        <f t="shared" si="35"/>
        <v>0</v>
      </c>
      <c r="K72" s="27">
        <f t="shared" si="35"/>
        <v>0</v>
      </c>
      <c r="L72" s="27">
        <v>2.0</v>
      </c>
      <c r="M72" s="27">
        <f t="shared" ref="M72:Y72" si="36">IF($F72="Recurring",IF(M$2&gt;=$E72,$C72*(1+$G72)^FLOOR((M$2-$E72)/3,1),0),IF(M$2=$E72,$C72,0))</f>
        <v>0</v>
      </c>
      <c r="N72" s="27">
        <f t="shared" si="36"/>
        <v>0</v>
      </c>
      <c r="O72" s="27">
        <f t="shared" si="36"/>
        <v>0</v>
      </c>
      <c r="P72" s="27">
        <f t="shared" si="36"/>
        <v>0</v>
      </c>
      <c r="Q72" s="27">
        <f t="shared" si="36"/>
        <v>0</v>
      </c>
      <c r="R72" s="27">
        <f t="shared" si="36"/>
        <v>0</v>
      </c>
      <c r="S72" s="27">
        <f t="shared" si="36"/>
        <v>0</v>
      </c>
      <c r="T72" s="27">
        <f t="shared" si="36"/>
        <v>0</v>
      </c>
      <c r="U72" s="27">
        <f t="shared" si="36"/>
        <v>0</v>
      </c>
      <c r="V72" s="27">
        <f t="shared" si="36"/>
        <v>0</v>
      </c>
      <c r="W72" s="27">
        <f t="shared" si="36"/>
        <v>0</v>
      </c>
      <c r="X72" s="27">
        <f t="shared" si="36"/>
        <v>0</v>
      </c>
      <c r="Y72" s="27">
        <f t="shared" si="36"/>
        <v>0</v>
      </c>
      <c r="Z72" s="27">
        <f t="shared" si="37"/>
        <v>2</v>
      </c>
      <c r="AA72" s="35"/>
      <c r="AB72" s="36"/>
    </row>
    <row r="73">
      <c r="A73" s="24"/>
      <c r="B73" s="25" t="s">
        <v>292</v>
      </c>
      <c r="C73" s="27">
        <v>0.417</v>
      </c>
      <c r="D73" s="29" t="s">
        <v>246</v>
      </c>
      <c r="E73" s="25">
        <v>1.0</v>
      </c>
      <c r="F73" s="25" t="s">
        <v>36</v>
      </c>
      <c r="G73" s="30">
        <v>0.0</v>
      </c>
      <c r="H73" s="27">
        <v>0.42</v>
      </c>
      <c r="I73" s="27">
        <v>0.42</v>
      </c>
      <c r="J73" s="27">
        <v>0.42</v>
      </c>
      <c r="K73" s="27">
        <v>0.42</v>
      </c>
      <c r="L73" s="27">
        <v>0.42</v>
      </c>
      <c r="M73" s="27">
        <v>0.42</v>
      </c>
      <c r="N73" s="27">
        <v>0.42</v>
      </c>
      <c r="O73" s="27">
        <v>0.42</v>
      </c>
      <c r="P73" s="27">
        <v>0.42</v>
      </c>
      <c r="Q73" s="27">
        <v>0.42</v>
      </c>
      <c r="R73" s="27">
        <v>0.42</v>
      </c>
      <c r="S73" s="27">
        <v>0.42</v>
      </c>
      <c r="T73" s="27">
        <v>0.42</v>
      </c>
      <c r="U73" s="27">
        <v>0.42</v>
      </c>
      <c r="V73" s="27">
        <v>0.42</v>
      </c>
      <c r="W73" s="27">
        <v>0.42</v>
      </c>
      <c r="X73" s="27">
        <v>0.42</v>
      </c>
      <c r="Y73" s="27">
        <v>0.42</v>
      </c>
      <c r="Z73" s="27">
        <f t="shared" si="37"/>
        <v>7.56</v>
      </c>
      <c r="AA73" s="35"/>
      <c r="AB73" s="36"/>
    </row>
    <row r="74">
      <c r="A74" s="24"/>
      <c r="B74" s="25" t="s">
        <v>293</v>
      </c>
      <c r="C74" s="27">
        <v>0.125</v>
      </c>
      <c r="D74" s="29" t="s">
        <v>246</v>
      </c>
      <c r="E74" s="25">
        <v>1.0</v>
      </c>
      <c r="F74" s="25" t="s">
        <v>36</v>
      </c>
      <c r="G74" s="30">
        <v>0.0</v>
      </c>
      <c r="H74" s="27">
        <v>0.13</v>
      </c>
      <c r="I74" s="27">
        <v>0.13</v>
      </c>
      <c r="J74" s="27">
        <v>0.13</v>
      </c>
      <c r="K74" s="27">
        <v>0.13</v>
      </c>
      <c r="L74" s="27">
        <v>0.13</v>
      </c>
      <c r="M74" s="27">
        <v>0.13</v>
      </c>
      <c r="N74" s="27">
        <v>0.13</v>
      </c>
      <c r="O74" s="27">
        <v>0.13</v>
      </c>
      <c r="P74" s="27">
        <v>0.13</v>
      </c>
      <c r="Q74" s="27">
        <v>0.13</v>
      </c>
      <c r="R74" s="27">
        <v>0.13</v>
      </c>
      <c r="S74" s="27">
        <v>0.13</v>
      </c>
      <c r="T74" s="27">
        <v>0.13</v>
      </c>
      <c r="U74" s="27">
        <v>0.13</v>
      </c>
      <c r="V74" s="27">
        <v>0.13</v>
      </c>
      <c r="W74" s="27">
        <v>0.13</v>
      </c>
      <c r="X74" s="27">
        <v>0.13</v>
      </c>
      <c r="Y74" s="27">
        <v>0.13</v>
      </c>
      <c r="Z74" s="27">
        <f t="shared" si="37"/>
        <v>2.34</v>
      </c>
      <c r="AA74" s="35"/>
      <c r="AB74" s="36"/>
    </row>
    <row r="75">
      <c r="A75" s="24"/>
      <c r="B75" s="25" t="s">
        <v>294</v>
      </c>
      <c r="C75" s="27">
        <v>0.167</v>
      </c>
      <c r="D75" s="29" t="s">
        <v>246</v>
      </c>
      <c r="E75" s="25">
        <v>1.0</v>
      </c>
      <c r="F75" s="25" t="s">
        <v>36</v>
      </c>
      <c r="G75" s="30">
        <v>0.0</v>
      </c>
      <c r="H75" s="27">
        <v>0.17</v>
      </c>
      <c r="I75" s="27">
        <v>0.17</v>
      </c>
      <c r="J75" s="27">
        <v>0.17</v>
      </c>
      <c r="K75" s="27">
        <v>0.17</v>
      </c>
      <c r="L75" s="27">
        <v>0.17</v>
      </c>
      <c r="M75" s="27">
        <v>0.17</v>
      </c>
      <c r="N75" s="27">
        <v>0.17</v>
      </c>
      <c r="O75" s="27">
        <v>0.17</v>
      </c>
      <c r="P75" s="27">
        <v>0.17</v>
      </c>
      <c r="Q75" s="27">
        <v>0.17</v>
      </c>
      <c r="R75" s="27">
        <v>0.17</v>
      </c>
      <c r="S75" s="27">
        <v>0.17</v>
      </c>
      <c r="T75" s="27">
        <v>0.17</v>
      </c>
      <c r="U75" s="27">
        <v>0.17</v>
      </c>
      <c r="V75" s="27">
        <v>0.17</v>
      </c>
      <c r="W75" s="27">
        <v>0.17</v>
      </c>
      <c r="X75" s="27">
        <v>0.17</v>
      </c>
      <c r="Y75" s="27">
        <v>0.17</v>
      </c>
      <c r="Z75" s="27">
        <f t="shared" si="37"/>
        <v>3.06</v>
      </c>
      <c r="AA75" s="35"/>
      <c r="AB75" s="36"/>
    </row>
    <row r="76">
      <c r="A76" s="24"/>
      <c r="B76" s="25" t="s">
        <v>295</v>
      </c>
      <c r="C76" s="27">
        <v>0.0625</v>
      </c>
      <c r="D76" s="29" t="s">
        <v>246</v>
      </c>
      <c r="E76" s="25">
        <v>1.0</v>
      </c>
      <c r="F76" s="25" t="s">
        <v>36</v>
      </c>
      <c r="G76" s="30">
        <v>0.0</v>
      </c>
      <c r="H76" s="27">
        <v>0.06</v>
      </c>
      <c r="I76" s="27">
        <v>0.06</v>
      </c>
      <c r="J76" s="27">
        <v>0.06</v>
      </c>
      <c r="K76" s="27">
        <v>0.06</v>
      </c>
      <c r="L76" s="27">
        <v>0.06</v>
      </c>
      <c r="M76" s="27">
        <v>0.06</v>
      </c>
      <c r="N76" s="27">
        <v>0.06</v>
      </c>
      <c r="O76" s="27">
        <v>0.06</v>
      </c>
      <c r="P76" s="27">
        <v>0.06</v>
      </c>
      <c r="Q76" s="27">
        <v>0.06</v>
      </c>
      <c r="R76" s="27">
        <v>0.06</v>
      </c>
      <c r="S76" s="27">
        <v>0.06</v>
      </c>
      <c r="T76" s="27">
        <v>0.06</v>
      </c>
      <c r="U76" s="27">
        <v>0.06</v>
      </c>
      <c r="V76" s="27">
        <v>0.06</v>
      </c>
      <c r="W76" s="27">
        <v>0.06</v>
      </c>
      <c r="X76" s="27">
        <v>0.06</v>
      </c>
      <c r="Y76" s="27">
        <v>0.06</v>
      </c>
      <c r="Z76" s="27">
        <f t="shared" si="37"/>
        <v>1.08</v>
      </c>
      <c r="AA76" s="35"/>
      <c r="AB76" s="36"/>
    </row>
    <row r="77">
      <c r="A77" s="24"/>
      <c r="B77" s="25" t="s">
        <v>296</v>
      </c>
      <c r="C77" s="27">
        <v>0.3</v>
      </c>
      <c r="D77" s="29" t="s">
        <v>281</v>
      </c>
      <c r="E77" s="25">
        <v>2.0</v>
      </c>
      <c r="F77" s="25" t="s">
        <v>275</v>
      </c>
      <c r="G77" s="30">
        <v>0.0</v>
      </c>
      <c r="H77" s="27">
        <f t="shared" ref="H77:H78" si="39">IF($F77="Recurring",IF(H$2&gt;=$E77,$C77*(1+$G77)^FLOOR((H$2-$E77)/3,1),0),IF(H$2=$E77,$C77,0))</f>
        <v>0</v>
      </c>
      <c r="I77" s="27">
        <v>0.3</v>
      </c>
      <c r="J77" s="27">
        <f t="shared" ref="J77:Y77" si="38">IF($F77="Recurring",IF(J$2&gt;=$E77,$C77*(1+$G77)^FLOOR((J$2-$E77)/3,1),0),IF(J$2=$E77,$C77,0))</f>
        <v>0</v>
      </c>
      <c r="K77" s="27">
        <f t="shared" si="38"/>
        <v>0</v>
      </c>
      <c r="L77" s="27">
        <f t="shared" si="38"/>
        <v>0</v>
      </c>
      <c r="M77" s="27">
        <f t="shared" si="38"/>
        <v>0</v>
      </c>
      <c r="N77" s="27">
        <f t="shared" si="38"/>
        <v>0</v>
      </c>
      <c r="O77" s="27">
        <f t="shared" si="38"/>
        <v>0</v>
      </c>
      <c r="P77" s="27">
        <f t="shared" si="38"/>
        <v>0</v>
      </c>
      <c r="Q77" s="27">
        <f t="shared" si="38"/>
        <v>0</v>
      </c>
      <c r="R77" s="27">
        <f t="shared" si="38"/>
        <v>0</v>
      </c>
      <c r="S77" s="27">
        <f t="shared" si="38"/>
        <v>0</v>
      </c>
      <c r="T77" s="27">
        <f t="shared" si="38"/>
        <v>0</v>
      </c>
      <c r="U77" s="27">
        <f t="shared" si="38"/>
        <v>0</v>
      </c>
      <c r="V77" s="27">
        <f t="shared" si="38"/>
        <v>0</v>
      </c>
      <c r="W77" s="27">
        <f t="shared" si="38"/>
        <v>0</v>
      </c>
      <c r="X77" s="27">
        <f t="shared" si="38"/>
        <v>0</v>
      </c>
      <c r="Y77" s="27">
        <f t="shared" si="38"/>
        <v>0</v>
      </c>
      <c r="Z77" s="27">
        <f t="shared" si="37"/>
        <v>0.3</v>
      </c>
      <c r="AA77" s="35"/>
      <c r="AB77" s="36"/>
    </row>
    <row r="78">
      <c r="A78" s="24"/>
      <c r="B78" s="25" t="s">
        <v>297</v>
      </c>
      <c r="C78" s="27">
        <v>0.25</v>
      </c>
      <c r="D78" s="29" t="s">
        <v>298</v>
      </c>
      <c r="E78" s="25">
        <v>3.0</v>
      </c>
      <c r="F78" s="25" t="s">
        <v>36</v>
      </c>
      <c r="G78" s="30">
        <v>0.0</v>
      </c>
      <c r="H78" s="27">
        <f t="shared" si="39"/>
        <v>0</v>
      </c>
      <c r="I78" s="27">
        <v>0.0</v>
      </c>
      <c r="J78" s="27">
        <v>0.25</v>
      </c>
      <c r="K78" s="27">
        <v>0.25</v>
      </c>
      <c r="L78" s="27">
        <v>0.25</v>
      </c>
      <c r="M78" s="27">
        <v>0.25</v>
      </c>
      <c r="N78" s="27">
        <v>0.25</v>
      </c>
      <c r="O78" s="27">
        <v>0.25</v>
      </c>
      <c r="P78" s="27">
        <v>0.25</v>
      </c>
      <c r="Q78" s="27">
        <v>0.25</v>
      </c>
      <c r="R78" s="27">
        <v>0.25</v>
      </c>
      <c r="S78" s="27">
        <v>0.25</v>
      </c>
      <c r="T78" s="27">
        <v>0.25</v>
      </c>
      <c r="U78" s="27">
        <v>0.25</v>
      </c>
      <c r="V78" s="27">
        <v>0.25</v>
      </c>
      <c r="W78" s="27">
        <v>0.25</v>
      </c>
      <c r="X78" s="27">
        <v>0.25</v>
      </c>
      <c r="Y78" s="27">
        <v>0.25</v>
      </c>
      <c r="Z78" s="27">
        <f t="shared" si="37"/>
        <v>4</v>
      </c>
      <c r="AA78" s="35"/>
      <c r="AB78" s="36"/>
    </row>
    <row r="79">
      <c r="A79" s="24"/>
      <c r="B79" s="25" t="s">
        <v>299</v>
      </c>
      <c r="C79" s="27">
        <v>0.417</v>
      </c>
      <c r="D79" s="29" t="s">
        <v>300</v>
      </c>
      <c r="E79" s="25">
        <v>1.0</v>
      </c>
      <c r="F79" s="25" t="s">
        <v>36</v>
      </c>
      <c r="G79" s="30">
        <v>0.0</v>
      </c>
      <c r="H79" s="27">
        <v>0.42</v>
      </c>
      <c r="I79" s="27">
        <v>0.42</v>
      </c>
      <c r="J79" s="27">
        <v>0.42</v>
      </c>
      <c r="K79" s="27">
        <v>0.42</v>
      </c>
      <c r="L79" s="27">
        <v>0.42</v>
      </c>
      <c r="M79" s="27">
        <v>0.42</v>
      </c>
      <c r="N79" s="27">
        <v>0.42</v>
      </c>
      <c r="O79" s="27">
        <v>0.42</v>
      </c>
      <c r="P79" s="27">
        <v>0.42</v>
      </c>
      <c r="Q79" s="27">
        <v>0.42</v>
      </c>
      <c r="R79" s="27">
        <v>0.42</v>
      </c>
      <c r="S79" s="27">
        <v>0.42</v>
      </c>
      <c r="T79" s="27">
        <v>0.42</v>
      </c>
      <c r="U79" s="27">
        <v>0.42</v>
      </c>
      <c r="V79" s="27">
        <v>0.42</v>
      </c>
      <c r="W79" s="27">
        <v>0.42</v>
      </c>
      <c r="X79" s="27">
        <v>0.42</v>
      </c>
      <c r="Y79" s="27">
        <v>0.42</v>
      </c>
      <c r="Z79" s="27">
        <f t="shared" si="37"/>
        <v>7.56</v>
      </c>
      <c r="AA79" s="35"/>
      <c r="AB79" s="36"/>
    </row>
    <row r="80">
      <c r="A80" s="24"/>
      <c r="B80" s="25" t="s">
        <v>301</v>
      </c>
      <c r="C80" s="27">
        <v>1.0</v>
      </c>
      <c r="D80" s="29" t="s">
        <v>246</v>
      </c>
      <c r="E80" s="25">
        <v>1.0</v>
      </c>
      <c r="F80" s="25" t="s">
        <v>275</v>
      </c>
      <c r="G80" s="30">
        <v>0.0</v>
      </c>
      <c r="H80" s="27">
        <v>1.0</v>
      </c>
      <c r="I80" s="27">
        <f t="shared" ref="I80:Y80" si="40">IF($F80="Recurring",IF(I$2&gt;=$E80,$C80*(1+$G80)^FLOOR((I$2-$E80)/3,1),0),IF(I$2=$E80,$C80,0))</f>
        <v>0</v>
      </c>
      <c r="J80" s="27">
        <f t="shared" si="40"/>
        <v>0</v>
      </c>
      <c r="K80" s="27">
        <f t="shared" si="40"/>
        <v>0</v>
      </c>
      <c r="L80" s="27">
        <f t="shared" si="40"/>
        <v>0</v>
      </c>
      <c r="M80" s="27">
        <f t="shared" si="40"/>
        <v>0</v>
      </c>
      <c r="N80" s="27">
        <f t="shared" si="40"/>
        <v>0</v>
      </c>
      <c r="O80" s="27">
        <f t="shared" si="40"/>
        <v>0</v>
      </c>
      <c r="P80" s="27">
        <f t="shared" si="40"/>
        <v>0</v>
      </c>
      <c r="Q80" s="27">
        <f t="shared" si="40"/>
        <v>0</v>
      </c>
      <c r="R80" s="27">
        <f t="shared" si="40"/>
        <v>0</v>
      </c>
      <c r="S80" s="27">
        <f t="shared" si="40"/>
        <v>0</v>
      </c>
      <c r="T80" s="27">
        <f t="shared" si="40"/>
        <v>0</v>
      </c>
      <c r="U80" s="27">
        <f t="shared" si="40"/>
        <v>0</v>
      </c>
      <c r="V80" s="27">
        <f t="shared" si="40"/>
        <v>0</v>
      </c>
      <c r="W80" s="27">
        <f t="shared" si="40"/>
        <v>0</v>
      </c>
      <c r="X80" s="27">
        <f t="shared" si="40"/>
        <v>0</v>
      </c>
      <c r="Y80" s="27">
        <f t="shared" si="40"/>
        <v>0</v>
      </c>
      <c r="Z80" s="27">
        <f t="shared" si="37"/>
        <v>1</v>
      </c>
      <c r="AA80" s="35"/>
      <c r="AB80" s="36"/>
    </row>
    <row r="81">
      <c r="A81" s="77"/>
      <c r="B81" s="77"/>
      <c r="C81" s="35"/>
      <c r="D81" s="24"/>
      <c r="E81" s="77"/>
      <c r="F81" s="77"/>
      <c r="G81" s="78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79"/>
      <c r="AA81" s="35"/>
      <c r="AB81" s="36"/>
    </row>
    <row r="82">
      <c r="A82" s="80"/>
      <c r="B82" s="80"/>
      <c r="C82" s="81"/>
      <c r="D82" s="80"/>
      <c r="E82" s="80"/>
      <c r="F82" s="80"/>
      <c r="G82" s="82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3">
        <f>SUM(Z71:Z80)</f>
        <v>29.15</v>
      </c>
      <c r="AB82" s="12"/>
    </row>
    <row r="83">
      <c r="A83" s="84" t="s">
        <v>302</v>
      </c>
      <c r="AB83" s="12"/>
    </row>
    <row r="84">
      <c r="A84" s="85" t="s">
        <v>303</v>
      </c>
      <c r="B84" s="85" t="s">
        <v>304</v>
      </c>
      <c r="C84" s="86">
        <v>5.0</v>
      </c>
      <c r="D84" s="29" t="s">
        <v>289</v>
      </c>
      <c r="E84" s="85">
        <v>7.0</v>
      </c>
      <c r="F84" s="85" t="s">
        <v>275</v>
      </c>
      <c r="G84" s="87">
        <v>0.0</v>
      </c>
      <c r="H84" s="86">
        <f t="shared" ref="H84:M84" si="41">IF(H$2=$E84,$C84,0)</f>
        <v>0</v>
      </c>
      <c r="I84" s="86">
        <f t="shared" si="41"/>
        <v>0</v>
      </c>
      <c r="J84" s="86">
        <f t="shared" si="41"/>
        <v>0</v>
      </c>
      <c r="K84" s="86">
        <f t="shared" si="41"/>
        <v>0</v>
      </c>
      <c r="L84" s="86">
        <f t="shared" si="41"/>
        <v>0</v>
      </c>
      <c r="M84" s="86">
        <f t="shared" si="41"/>
        <v>0</v>
      </c>
      <c r="N84" s="86">
        <v>5.0</v>
      </c>
      <c r="O84" s="86">
        <f t="shared" ref="O84:Y84" si="42">IF(O$2=$E84,$C84,0)</f>
        <v>0</v>
      </c>
      <c r="P84" s="86">
        <f t="shared" si="42"/>
        <v>0</v>
      </c>
      <c r="Q84" s="86">
        <f t="shared" si="42"/>
        <v>0</v>
      </c>
      <c r="R84" s="86">
        <f t="shared" si="42"/>
        <v>0</v>
      </c>
      <c r="S84" s="86">
        <f t="shared" si="42"/>
        <v>0</v>
      </c>
      <c r="T84" s="86">
        <f t="shared" si="42"/>
        <v>0</v>
      </c>
      <c r="U84" s="86">
        <f t="shared" si="42"/>
        <v>0</v>
      </c>
      <c r="V84" s="86">
        <f t="shared" si="42"/>
        <v>0</v>
      </c>
      <c r="W84" s="86">
        <f t="shared" si="42"/>
        <v>0</v>
      </c>
      <c r="X84" s="86">
        <f t="shared" si="42"/>
        <v>0</v>
      </c>
      <c r="Y84" s="86">
        <f t="shared" si="42"/>
        <v>0</v>
      </c>
      <c r="Z84" s="86">
        <f>SUM(H84:Y84)</f>
        <v>5</v>
      </c>
      <c r="AA84" s="88">
        <f>Z84</f>
        <v>5</v>
      </c>
      <c r="AB84" s="36"/>
    </row>
    <row r="85">
      <c r="A85" s="77"/>
      <c r="B85" s="77"/>
      <c r="C85" s="77"/>
      <c r="D85" s="77"/>
      <c r="E85" s="77"/>
      <c r="F85" s="77"/>
      <c r="G85" s="77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12"/>
    </row>
    <row r="86">
      <c r="A86" s="77"/>
      <c r="B86" s="57" t="s">
        <v>305</v>
      </c>
      <c r="E86" s="77"/>
      <c r="F86" s="77"/>
      <c r="G86" s="77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89">
        <f>Z87</f>
        <v>1115.44946</v>
      </c>
      <c r="AA86" s="89">
        <f>Z87</f>
        <v>1115.44946</v>
      </c>
      <c r="AB86" s="12"/>
    </row>
    <row r="87">
      <c r="A87" s="77"/>
      <c r="B87" s="90" t="s">
        <v>306</v>
      </c>
      <c r="C87" s="91"/>
      <c r="D87" s="92"/>
      <c r="E87" s="93"/>
      <c r="F87" s="93"/>
      <c r="G87" s="93"/>
      <c r="H87" s="94">
        <f t="shared" ref="H87:Y87" si="43">SUM(H5:H8,H11:H13,H16:H31,H35:H45,H48:H50,H53:H56,H59:H68,H71:H80,H84)</f>
        <v>27.6</v>
      </c>
      <c r="I87" s="94">
        <f t="shared" si="43"/>
        <v>33.9</v>
      </c>
      <c r="J87" s="94">
        <f t="shared" si="43"/>
        <v>49.25</v>
      </c>
      <c r="K87" s="94">
        <f t="shared" si="43"/>
        <v>49.57</v>
      </c>
      <c r="L87" s="94">
        <f t="shared" si="43"/>
        <v>56.79</v>
      </c>
      <c r="M87" s="94">
        <f t="shared" si="43"/>
        <v>57.032</v>
      </c>
      <c r="N87" s="94">
        <f t="shared" si="43"/>
        <v>64.6782</v>
      </c>
      <c r="O87" s="94">
        <f t="shared" si="43"/>
        <v>59.72102</v>
      </c>
      <c r="P87" s="94">
        <f t="shared" si="43"/>
        <v>66.043122</v>
      </c>
      <c r="Q87" s="94">
        <f t="shared" si="43"/>
        <v>66.8474342</v>
      </c>
      <c r="R87" s="94">
        <f t="shared" si="43"/>
        <v>67.23717762</v>
      </c>
      <c r="S87" s="94">
        <f t="shared" si="43"/>
        <v>69.16589538</v>
      </c>
      <c r="T87" s="94">
        <f t="shared" si="43"/>
        <v>72.15748492</v>
      </c>
      <c r="U87" s="94">
        <f t="shared" si="43"/>
        <v>72.67623341</v>
      </c>
      <c r="V87" s="94">
        <f t="shared" si="43"/>
        <v>74.24685675</v>
      </c>
      <c r="W87" s="94">
        <f t="shared" si="43"/>
        <v>75.46454243</v>
      </c>
      <c r="X87" s="94">
        <f t="shared" si="43"/>
        <v>76.15499667</v>
      </c>
      <c r="Y87" s="94">
        <f t="shared" si="43"/>
        <v>76.91449634</v>
      </c>
      <c r="Z87" s="94">
        <f>SUM(H87:Y87)</f>
        <v>1115.44946</v>
      </c>
      <c r="AA87" s="89">
        <f>Z87</f>
        <v>1115.44946</v>
      </c>
      <c r="AB87" s="12"/>
    </row>
    <row r="88">
      <c r="A88" s="77"/>
      <c r="B88" s="95" t="s">
        <v>307</v>
      </c>
      <c r="C88" s="71"/>
      <c r="D88" s="96"/>
      <c r="E88" s="96"/>
      <c r="F88" s="96"/>
      <c r="G88" s="96"/>
      <c r="H88" s="97">
        <f>H87</f>
        <v>27.6</v>
      </c>
      <c r="I88" s="97">
        <f t="shared" ref="I88:Y88" si="44">H88+I87</f>
        <v>61.5</v>
      </c>
      <c r="J88" s="97">
        <f t="shared" si="44"/>
        <v>110.75</v>
      </c>
      <c r="K88" s="97">
        <f t="shared" si="44"/>
        <v>160.32</v>
      </c>
      <c r="L88" s="97">
        <f t="shared" si="44"/>
        <v>217.11</v>
      </c>
      <c r="M88" s="97">
        <f t="shared" si="44"/>
        <v>274.142</v>
      </c>
      <c r="N88" s="97">
        <f t="shared" si="44"/>
        <v>338.8202</v>
      </c>
      <c r="O88" s="97">
        <f t="shared" si="44"/>
        <v>398.54122</v>
      </c>
      <c r="P88" s="97">
        <f t="shared" si="44"/>
        <v>464.584342</v>
      </c>
      <c r="Q88" s="97">
        <f t="shared" si="44"/>
        <v>531.4317762</v>
      </c>
      <c r="R88" s="97">
        <f t="shared" si="44"/>
        <v>598.6689538</v>
      </c>
      <c r="S88" s="97">
        <f t="shared" si="44"/>
        <v>667.8348492</v>
      </c>
      <c r="T88" s="97">
        <f t="shared" si="44"/>
        <v>739.9923341</v>
      </c>
      <c r="U88" s="97">
        <f t="shared" si="44"/>
        <v>812.6685675</v>
      </c>
      <c r="V88" s="97">
        <f t="shared" si="44"/>
        <v>886.9154243</v>
      </c>
      <c r="W88" s="97">
        <f t="shared" si="44"/>
        <v>962.3799667</v>
      </c>
      <c r="X88" s="97">
        <f t="shared" si="44"/>
        <v>1038.534963</v>
      </c>
      <c r="Y88" s="97">
        <f t="shared" si="44"/>
        <v>1115.44946</v>
      </c>
      <c r="Z88" s="79"/>
      <c r="AA88" s="35"/>
      <c r="AB88" s="12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12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12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12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12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12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12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12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12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12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12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12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12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12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12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12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12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12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12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12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12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12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12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12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12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12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12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12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12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12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12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12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12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12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12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mergeCells count="9">
    <mergeCell ref="B87:D87"/>
    <mergeCell ref="B88:C88"/>
    <mergeCell ref="A1:AA1"/>
    <mergeCell ref="A34:B34"/>
    <mergeCell ref="A47:B47"/>
    <mergeCell ref="A58:B58"/>
    <mergeCell ref="A70:B70"/>
    <mergeCell ref="A83:AA83"/>
    <mergeCell ref="B86:D8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9.75"/>
  </cols>
  <sheetData>
    <row r="1">
      <c r="A1" s="4" t="s">
        <v>2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15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5" t="s">
        <v>27</v>
      </c>
      <c r="B4" s="15" t="s">
        <v>28</v>
      </c>
      <c r="C4" s="17">
        <v>1.25</v>
      </c>
      <c r="D4" s="17">
        <v>15.0</v>
      </c>
      <c r="E4" s="19">
        <v>1.0</v>
      </c>
      <c r="F4" s="19">
        <v>18.0</v>
      </c>
      <c r="G4" s="17">
        <v>22.5</v>
      </c>
      <c r="H4" s="15" t="s">
        <v>30</v>
      </c>
      <c r="I4" s="15" t="s">
        <v>31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 t="s">
        <v>32</v>
      </c>
      <c r="B5" s="15" t="s">
        <v>28</v>
      </c>
      <c r="C5" s="17">
        <v>1.25</v>
      </c>
      <c r="D5" s="17">
        <v>15.0</v>
      </c>
      <c r="E5" s="19">
        <v>1.0</v>
      </c>
      <c r="F5" s="19">
        <v>18.0</v>
      </c>
      <c r="G5" s="17">
        <v>22.5</v>
      </c>
      <c r="H5" s="15" t="s">
        <v>33</v>
      </c>
      <c r="I5" s="15" t="s">
        <v>31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5" t="s">
        <v>34</v>
      </c>
      <c r="B6" s="15" t="s">
        <v>28</v>
      </c>
      <c r="C6" s="17">
        <v>1.25</v>
      </c>
      <c r="D6" s="17">
        <v>15.0</v>
      </c>
      <c r="E6" s="19">
        <v>1.0</v>
      </c>
      <c r="F6" s="19">
        <v>18.0</v>
      </c>
      <c r="G6" s="17">
        <v>22.5</v>
      </c>
      <c r="H6" s="15" t="s">
        <v>35</v>
      </c>
      <c r="I6" s="15" t="s">
        <v>31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 t="s">
        <v>37</v>
      </c>
      <c r="B7" s="15" t="s">
        <v>28</v>
      </c>
      <c r="C7" s="17">
        <v>1.5</v>
      </c>
      <c r="D7" s="17">
        <v>18.0</v>
      </c>
      <c r="E7" s="19">
        <v>1.0</v>
      </c>
      <c r="F7" s="19">
        <v>18.0</v>
      </c>
      <c r="G7" s="17">
        <v>27.0</v>
      </c>
      <c r="H7" s="15" t="s">
        <v>38</v>
      </c>
      <c r="I7" s="15" t="s">
        <v>31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 t="s">
        <v>40</v>
      </c>
      <c r="B8" s="15" t="s">
        <v>41</v>
      </c>
      <c r="C8" s="17">
        <v>1.0</v>
      </c>
      <c r="D8" s="17">
        <v>12.0</v>
      </c>
      <c r="E8" s="19">
        <v>5.0</v>
      </c>
      <c r="F8" s="19">
        <v>14.0</v>
      </c>
      <c r="G8" s="17">
        <v>14.0</v>
      </c>
      <c r="H8" s="15" t="s">
        <v>43</v>
      </c>
      <c r="I8" s="15" t="s">
        <v>44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" t="s">
        <v>49</v>
      </c>
      <c r="B9" s="15" t="s">
        <v>50</v>
      </c>
      <c r="C9" s="17">
        <v>1.5</v>
      </c>
      <c r="D9" s="17">
        <v>18.0</v>
      </c>
      <c r="E9" s="19">
        <v>1.0</v>
      </c>
      <c r="F9" s="19">
        <v>18.0</v>
      </c>
      <c r="G9" s="17">
        <v>27.0</v>
      </c>
      <c r="H9" s="15" t="s">
        <v>51</v>
      </c>
      <c r="I9" s="15" t="s">
        <v>52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5" t="s">
        <v>57</v>
      </c>
      <c r="B10" s="15" t="s">
        <v>50</v>
      </c>
      <c r="C10" s="17">
        <v>1.5</v>
      </c>
      <c r="D10" s="17">
        <v>18.0</v>
      </c>
      <c r="E10" s="19">
        <v>1.0</v>
      </c>
      <c r="F10" s="19">
        <v>18.0</v>
      </c>
      <c r="G10" s="17">
        <v>27.0</v>
      </c>
      <c r="H10" s="15" t="s">
        <v>58</v>
      </c>
      <c r="I10" s="15" t="s">
        <v>52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 t="s">
        <v>62</v>
      </c>
      <c r="B11" s="15" t="s">
        <v>41</v>
      </c>
      <c r="C11" s="17">
        <v>1.0</v>
      </c>
      <c r="D11" s="17">
        <v>12.0</v>
      </c>
      <c r="E11" s="19">
        <v>2.0</v>
      </c>
      <c r="F11" s="19">
        <v>17.0</v>
      </c>
      <c r="G11" s="17">
        <v>17.0</v>
      </c>
      <c r="H11" s="15" t="s">
        <v>64</v>
      </c>
      <c r="I11" s="15" t="s">
        <v>65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 t="s">
        <v>69</v>
      </c>
      <c r="B12" s="15" t="s">
        <v>41</v>
      </c>
      <c r="C12" s="17">
        <v>1.0</v>
      </c>
      <c r="D12" s="17">
        <v>12.0</v>
      </c>
      <c r="E12" s="19">
        <v>5.0</v>
      </c>
      <c r="F12" s="19">
        <v>14.0</v>
      </c>
      <c r="G12" s="17">
        <v>14.0</v>
      </c>
      <c r="H12" s="15" t="s">
        <v>72</v>
      </c>
      <c r="I12" s="15" t="s">
        <v>74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 t="s">
        <v>78</v>
      </c>
      <c r="B13" s="15" t="s">
        <v>41</v>
      </c>
      <c r="C13" s="17">
        <v>1.0</v>
      </c>
      <c r="D13" s="17">
        <v>12.0</v>
      </c>
      <c r="E13" s="19">
        <v>2.0</v>
      </c>
      <c r="F13" s="19">
        <v>17.0</v>
      </c>
      <c r="G13" s="17">
        <v>17.0</v>
      </c>
      <c r="H13" s="15" t="s">
        <v>82</v>
      </c>
      <c r="I13" s="15" t="s">
        <v>65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 t="s">
        <v>84</v>
      </c>
      <c r="B14" s="15" t="s">
        <v>85</v>
      </c>
      <c r="C14" s="17">
        <v>1.0</v>
      </c>
      <c r="D14" s="17">
        <v>12.0</v>
      </c>
      <c r="E14" s="19">
        <v>1.0</v>
      </c>
      <c r="F14" s="19">
        <v>18.0</v>
      </c>
      <c r="G14" s="17">
        <v>18.0</v>
      </c>
      <c r="H14" s="15" t="s">
        <v>89</v>
      </c>
      <c r="I14" s="15" t="s">
        <v>90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 t="s">
        <v>91</v>
      </c>
      <c r="B15" s="15" t="s">
        <v>85</v>
      </c>
      <c r="C15" s="17">
        <v>1.0</v>
      </c>
      <c r="D15" s="17">
        <v>12.0</v>
      </c>
      <c r="E15" s="19">
        <v>1.0</v>
      </c>
      <c r="F15" s="19">
        <v>18.0</v>
      </c>
      <c r="G15" s="17">
        <v>18.0</v>
      </c>
      <c r="H15" s="15" t="s">
        <v>94</v>
      </c>
      <c r="I15" s="15" t="s">
        <v>96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 t="s">
        <v>99</v>
      </c>
      <c r="B16" s="15" t="s">
        <v>101</v>
      </c>
      <c r="C16" s="17">
        <v>1.0</v>
      </c>
      <c r="D16" s="17">
        <v>12.0</v>
      </c>
      <c r="E16" s="19">
        <v>5.0</v>
      </c>
      <c r="F16" s="19">
        <v>14.0</v>
      </c>
      <c r="G16" s="17">
        <v>14.0</v>
      </c>
      <c r="H16" s="15" t="s">
        <v>105</v>
      </c>
      <c r="I16" s="15" t="s">
        <v>106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 t="s">
        <v>112</v>
      </c>
      <c r="B17" s="15" t="s">
        <v>113</v>
      </c>
      <c r="C17" s="17">
        <v>1.0</v>
      </c>
      <c r="D17" s="17">
        <v>12.0</v>
      </c>
      <c r="E17" s="19">
        <v>10.0</v>
      </c>
      <c r="F17" s="19">
        <v>9.0</v>
      </c>
      <c r="G17" s="17">
        <v>10.0</v>
      </c>
      <c r="H17" s="15" t="s">
        <v>117</v>
      </c>
      <c r="I17" s="15" t="s">
        <v>120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 t="s">
        <v>121</v>
      </c>
      <c r="B18" s="15" t="s">
        <v>122</v>
      </c>
      <c r="C18" s="17">
        <v>2.0</v>
      </c>
      <c r="D18" s="17">
        <v>24.0</v>
      </c>
      <c r="E18" s="19">
        <v>9.0</v>
      </c>
      <c r="F18" s="19">
        <v>10.0</v>
      </c>
      <c r="G18" s="17">
        <v>20.0</v>
      </c>
      <c r="H18" s="15" t="s">
        <v>123</v>
      </c>
      <c r="I18" s="15" t="s">
        <v>124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 t="s">
        <v>127</v>
      </c>
      <c r="B19" s="15" t="s">
        <v>122</v>
      </c>
      <c r="C19" s="17">
        <v>3.0</v>
      </c>
      <c r="D19" s="17">
        <v>36.0</v>
      </c>
      <c r="E19" s="19">
        <v>3.0</v>
      </c>
      <c r="F19" s="19">
        <v>16.0</v>
      </c>
      <c r="G19" s="17">
        <v>48.0</v>
      </c>
      <c r="H19" s="15" t="s">
        <v>130</v>
      </c>
      <c r="I19" s="15" t="s">
        <v>132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 t="s">
        <v>136</v>
      </c>
      <c r="B20" s="15" t="s">
        <v>122</v>
      </c>
      <c r="C20" s="17">
        <v>3.0</v>
      </c>
      <c r="D20" s="17">
        <v>36.0</v>
      </c>
      <c r="E20" s="19">
        <v>3.0</v>
      </c>
      <c r="F20" s="19">
        <v>16.0</v>
      </c>
      <c r="G20" s="17">
        <v>48.0</v>
      </c>
      <c r="H20" s="15" t="s">
        <v>137</v>
      </c>
      <c r="I20" s="15" t="s">
        <v>120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5" t="s">
        <v>142</v>
      </c>
      <c r="B21" s="15" t="s">
        <v>122</v>
      </c>
      <c r="C21" s="17">
        <v>2.0</v>
      </c>
      <c r="D21" s="17">
        <v>24.0</v>
      </c>
      <c r="E21" s="19">
        <v>5.0</v>
      </c>
      <c r="F21" s="19">
        <v>14.0</v>
      </c>
      <c r="G21" s="17">
        <v>28.0</v>
      </c>
      <c r="H21" s="15" t="s">
        <v>147</v>
      </c>
      <c r="I21" s="15" t="s">
        <v>120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5" t="s">
        <v>151</v>
      </c>
      <c r="B22" s="15" t="s">
        <v>122</v>
      </c>
      <c r="C22" s="17">
        <v>2.0</v>
      </c>
      <c r="D22" s="17">
        <v>24.0</v>
      </c>
      <c r="E22" s="19">
        <v>3.0</v>
      </c>
      <c r="F22" s="19">
        <v>16.0</v>
      </c>
      <c r="G22" s="17">
        <v>32.0</v>
      </c>
      <c r="H22" s="15" t="s">
        <v>154</v>
      </c>
      <c r="I22" s="15" t="s">
        <v>155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5" t="s">
        <v>159</v>
      </c>
      <c r="B23" s="15" t="s">
        <v>122</v>
      </c>
      <c r="C23" s="17">
        <v>1.5</v>
      </c>
      <c r="D23" s="17">
        <v>18.0</v>
      </c>
      <c r="E23" s="19">
        <v>12.0</v>
      </c>
      <c r="F23" s="19">
        <v>7.0</v>
      </c>
      <c r="G23" s="17">
        <v>10.5</v>
      </c>
      <c r="H23" s="15" t="s">
        <v>161</v>
      </c>
      <c r="I23" s="15" t="s">
        <v>163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5" t="s">
        <v>165</v>
      </c>
      <c r="B24" s="15" t="s">
        <v>122</v>
      </c>
      <c r="C24" s="17">
        <v>3.0</v>
      </c>
      <c r="D24" s="17">
        <v>36.0</v>
      </c>
      <c r="E24" s="19">
        <v>3.0</v>
      </c>
      <c r="F24" s="19">
        <v>16.0</v>
      </c>
      <c r="G24" s="17">
        <v>48.0</v>
      </c>
      <c r="H24" s="15" t="s">
        <v>170</v>
      </c>
      <c r="I24" s="15" t="s">
        <v>173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5" t="s">
        <v>177</v>
      </c>
      <c r="B25" s="15" t="s">
        <v>122</v>
      </c>
      <c r="C25" s="17">
        <v>1.0</v>
      </c>
      <c r="D25" s="17">
        <v>12.0</v>
      </c>
      <c r="E25" s="19">
        <v>3.0</v>
      </c>
      <c r="F25" s="19">
        <v>16.0</v>
      </c>
      <c r="G25" s="17">
        <v>16.0</v>
      </c>
      <c r="H25" s="15" t="s">
        <v>181</v>
      </c>
      <c r="I25" s="15" t="s">
        <v>182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5" t="s">
        <v>189</v>
      </c>
      <c r="B26" s="15" t="s">
        <v>191</v>
      </c>
      <c r="C26" s="17">
        <v>1.0</v>
      </c>
      <c r="D26" s="17">
        <v>12.0</v>
      </c>
      <c r="E26" s="19">
        <v>9.0</v>
      </c>
      <c r="F26" s="19">
        <v>10.0</v>
      </c>
      <c r="G26" s="17">
        <v>10.0</v>
      </c>
      <c r="H26" s="15" t="s">
        <v>192</v>
      </c>
      <c r="I26" s="15" t="s">
        <v>182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5" t="s">
        <v>199</v>
      </c>
      <c r="B27" s="15" t="s">
        <v>200</v>
      </c>
      <c r="C27" s="17">
        <v>2.5</v>
      </c>
      <c r="D27" s="17">
        <v>30.0</v>
      </c>
      <c r="E27" s="19">
        <v>2.0</v>
      </c>
      <c r="F27" s="19">
        <v>17.0</v>
      </c>
      <c r="G27" s="17">
        <v>42.5</v>
      </c>
      <c r="H27" s="15" t="s">
        <v>201</v>
      </c>
      <c r="I27" s="15" t="s">
        <v>202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5" t="s">
        <v>205</v>
      </c>
      <c r="B28" s="15" t="s">
        <v>206</v>
      </c>
      <c r="C28" s="17">
        <v>0.6</v>
      </c>
      <c r="D28" s="17">
        <v>7.199999999999999</v>
      </c>
      <c r="E28" s="19">
        <v>3.0</v>
      </c>
      <c r="F28" s="19">
        <v>16.0</v>
      </c>
      <c r="G28" s="17">
        <v>9.6</v>
      </c>
      <c r="H28" s="15" t="s">
        <v>209</v>
      </c>
      <c r="I28" s="15" t="s">
        <v>210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5" t="s">
        <v>223</v>
      </c>
      <c r="H31" s="62"/>
      <c r="I31" s="62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>
      <c r="A32" s="10" t="s">
        <v>212</v>
      </c>
      <c r="B32" s="10" t="s">
        <v>215</v>
      </c>
      <c r="C32" s="10" t="s">
        <v>45</v>
      </c>
      <c r="D32" s="10" t="s">
        <v>216</v>
      </c>
      <c r="E32" s="59"/>
      <c r="F32" s="59"/>
      <c r="G32" s="59"/>
      <c r="H32" s="59"/>
      <c r="I32" s="5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5" t="s">
        <v>231</v>
      </c>
      <c r="B33" s="17">
        <f>SUM(G4:G28)</f>
        <v>583.1</v>
      </c>
      <c r="C33" s="15" t="s">
        <v>86</v>
      </c>
      <c r="D33" s="15" t="s">
        <v>233</v>
      </c>
      <c r="E33" s="59"/>
      <c r="F33" s="59"/>
      <c r="G33" s="59"/>
      <c r="H33" s="59"/>
      <c r="I33" s="5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5" t="s">
        <v>234</v>
      </c>
      <c r="B34" s="17">
        <f>SUM(Budgeting!Y5,Budgeting!Y6,Budgeting!Y7,Budgeting!Y8,Budgeting!Y17,Budgeting!Y18,Budgeting!Y19,Budgeting!Y23,Budgeting!Y24,Budgeting!Y25,Budgeting!Y26,Budgeting!Y27,Budgeting!Y28,Budgeting!Y30,Budgeting!Y35,Budgeting!Y36,Budgeting!Y37,Budgeting!Y38,Budgeting!Y39,Budgeting!Y41,Budgeting!Y42,Budgeting!Y44,Budgeting!Y45,Budgeting!Y53,Budgeting!Y55)</f>
        <v>37.85</v>
      </c>
      <c r="C34" s="15" t="s">
        <v>109</v>
      </c>
      <c r="D34" s="15" t="s">
        <v>239</v>
      </c>
      <c r="E34" s="59"/>
      <c r="F34" s="59"/>
      <c r="G34" s="59"/>
      <c r="H34" s="59"/>
      <c r="I34" s="5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5" t="s">
        <v>77</v>
      </c>
      <c r="B35" s="19">
        <f>Assumptions!B7</f>
        <v>40</v>
      </c>
      <c r="C35" s="15" t="s">
        <v>79</v>
      </c>
      <c r="D35" s="15" t="s">
        <v>240</v>
      </c>
      <c r="E35" s="59"/>
      <c r="F35" s="59"/>
      <c r="G35" s="59"/>
      <c r="H35" s="59"/>
      <c r="I35" s="5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5" t="s">
        <v>241</v>
      </c>
      <c r="B36" s="19">
        <f>COUNTA(A4:A28)</f>
        <v>25</v>
      </c>
      <c r="C36" s="15" t="s">
        <v>242</v>
      </c>
      <c r="D36" s="15" t="s">
        <v>243</v>
      </c>
      <c r="E36" s="59"/>
      <c r="F36" s="59"/>
      <c r="G36" s="59"/>
      <c r="H36" s="59"/>
      <c r="I36" s="5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I1"/>
    <mergeCell ref="A31:G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  <col customWidth="1" min="5" max="5" width="33.63"/>
    <col customWidth="1" min="6" max="6" width="25.63"/>
  </cols>
  <sheetData>
    <row r="1">
      <c r="A1" s="4" t="s">
        <v>29</v>
      </c>
      <c r="G1" s="20"/>
      <c r="H1" s="20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0" t="s">
        <v>39</v>
      </c>
      <c r="B3" s="10" t="s">
        <v>42</v>
      </c>
      <c r="C3" s="10" t="s">
        <v>45</v>
      </c>
      <c r="D3" s="10" t="s">
        <v>46</v>
      </c>
      <c r="E3" s="10" t="s">
        <v>47</v>
      </c>
      <c r="F3" s="10" t="s">
        <v>48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5" t="s">
        <v>10</v>
      </c>
      <c r="B4" s="19">
        <v>18.0</v>
      </c>
      <c r="C4" s="15" t="s">
        <v>53</v>
      </c>
      <c r="D4" s="15" t="s">
        <v>54</v>
      </c>
      <c r="E4" s="15" t="s">
        <v>55</v>
      </c>
      <c r="F4" s="15" t="s">
        <v>56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5" t="s">
        <v>59</v>
      </c>
      <c r="B5" s="37">
        <v>0.12</v>
      </c>
      <c r="C5" s="15" t="s">
        <v>60</v>
      </c>
      <c r="D5" s="15" t="s">
        <v>61</v>
      </c>
      <c r="E5" s="15" t="s">
        <v>63</v>
      </c>
      <c r="F5" s="15" t="s">
        <v>56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5" t="s">
        <v>66</v>
      </c>
      <c r="B6" s="37">
        <v>0.0</v>
      </c>
      <c r="C6" s="15" t="s">
        <v>67</v>
      </c>
      <c r="D6" s="15" t="s">
        <v>70</v>
      </c>
      <c r="E6" s="15" t="s">
        <v>71</v>
      </c>
      <c r="F6" s="15" t="s">
        <v>56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5" t="s">
        <v>77</v>
      </c>
      <c r="B7" s="19">
        <v>40.0</v>
      </c>
      <c r="C7" s="15" t="s">
        <v>79</v>
      </c>
      <c r="D7" s="15" t="s">
        <v>80</v>
      </c>
      <c r="E7" s="15" t="s">
        <v>81</v>
      </c>
      <c r="F7" s="15" t="s">
        <v>56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5" t="s">
        <v>83</v>
      </c>
      <c r="B8" s="17">
        <v>5.0</v>
      </c>
      <c r="C8" s="15" t="s">
        <v>86</v>
      </c>
      <c r="D8" s="15" t="s">
        <v>87</v>
      </c>
      <c r="E8" s="15" t="s">
        <v>88</v>
      </c>
      <c r="F8" s="15" t="s">
        <v>56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5" t="s">
        <v>92</v>
      </c>
      <c r="B9" s="38" t="s">
        <v>93</v>
      </c>
      <c r="C9" s="15" t="s">
        <v>95</v>
      </c>
      <c r="D9" s="15" t="s">
        <v>97</v>
      </c>
      <c r="E9" s="15" t="s">
        <v>81</v>
      </c>
      <c r="F9" s="15" t="s">
        <v>56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5" t="s">
        <v>98</v>
      </c>
      <c r="B10" s="38" t="s">
        <v>86</v>
      </c>
      <c r="C10" s="15" t="s">
        <v>100</v>
      </c>
      <c r="D10" s="15" t="s">
        <v>102</v>
      </c>
      <c r="E10" s="15" t="s">
        <v>103</v>
      </c>
      <c r="F10" s="15" t="s">
        <v>104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5" t="s">
        <v>107</v>
      </c>
      <c r="B11" s="38" t="s">
        <v>108</v>
      </c>
      <c r="C11" s="15" t="s">
        <v>109</v>
      </c>
      <c r="D11" s="15" t="s">
        <v>110</v>
      </c>
      <c r="E11" s="15" t="s">
        <v>111</v>
      </c>
      <c r="F11" s="15" t="s">
        <v>56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5" t="s">
        <v>114</v>
      </c>
      <c r="B12" s="38" t="s">
        <v>115</v>
      </c>
      <c r="C12" s="15" t="s">
        <v>116</v>
      </c>
      <c r="D12" s="15" t="s">
        <v>118</v>
      </c>
      <c r="E12" s="15" t="s">
        <v>119</v>
      </c>
      <c r="F12" s="15" t="s">
        <v>56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5"/>
      <c r="B13" s="38"/>
      <c r="C13" s="15"/>
      <c r="D13" s="15"/>
      <c r="E13" s="15"/>
      <c r="F13" s="15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5"/>
      <c r="B14" s="15"/>
      <c r="C14" s="15"/>
      <c r="D14" s="15"/>
      <c r="E14" s="15"/>
      <c r="F14" s="15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45" t="s">
        <v>129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0" t="s">
        <v>39</v>
      </c>
      <c r="B16" s="10" t="s">
        <v>42</v>
      </c>
      <c r="C16" s="10" t="s">
        <v>45</v>
      </c>
      <c r="D16" s="10" t="s">
        <v>46</v>
      </c>
      <c r="E16" s="10" t="s">
        <v>47</v>
      </c>
      <c r="F16" s="10" t="s">
        <v>48</v>
      </c>
      <c r="G16" s="28"/>
      <c r="H16" s="2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15" t="s">
        <v>143</v>
      </c>
      <c r="B17" s="37">
        <v>0.2</v>
      </c>
      <c r="C17" s="15" t="s">
        <v>67</v>
      </c>
      <c r="D17" s="15" t="s">
        <v>145</v>
      </c>
      <c r="E17" s="15" t="s">
        <v>146</v>
      </c>
      <c r="F17" s="15" t="s">
        <v>56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5" t="s">
        <v>156</v>
      </c>
      <c r="B18" s="37">
        <v>0.35</v>
      </c>
      <c r="C18" s="15" t="s">
        <v>67</v>
      </c>
      <c r="D18" s="15" t="s">
        <v>157</v>
      </c>
      <c r="E18" s="15" t="s">
        <v>158</v>
      </c>
      <c r="F18" s="15" t="s">
        <v>56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5" t="s">
        <v>160</v>
      </c>
      <c r="B19" s="53">
        <v>10.0</v>
      </c>
      <c r="C19" s="38" t="s">
        <v>162</v>
      </c>
      <c r="D19" s="38" t="s">
        <v>164</v>
      </c>
      <c r="E19" s="38" t="s">
        <v>158</v>
      </c>
      <c r="F19" s="38" t="s">
        <v>56</v>
      </c>
      <c r="G19" s="55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5" t="s">
        <v>168</v>
      </c>
      <c r="B20" s="19">
        <v>5.0</v>
      </c>
      <c r="C20" s="38" t="s">
        <v>172</v>
      </c>
      <c r="D20" s="38" t="s">
        <v>175</v>
      </c>
      <c r="E20" s="38" t="s">
        <v>146</v>
      </c>
      <c r="F20" s="38" t="s">
        <v>56</v>
      </c>
      <c r="G20" s="55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5" t="s">
        <v>178</v>
      </c>
      <c r="B21" s="17">
        <v>750.0</v>
      </c>
      <c r="C21" s="38" t="s">
        <v>179</v>
      </c>
      <c r="D21" s="38" t="s">
        <v>180</v>
      </c>
      <c r="E21" s="38" t="s">
        <v>158</v>
      </c>
      <c r="F21" s="38" t="s">
        <v>56</v>
      </c>
      <c r="G21" s="55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5" t="s">
        <v>188</v>
      </c>
      <c r="B22" s="17">
        <v>62.9</v>
      </c>
      <c r="C22" s="38" t="s">
        <v>179</v>
      </c>
      <c r="D22" s="38" t="s">
        <v>190</v>
      </c>
      <c r="E22" s="38" t="s">
        <v>158</v>
      </c>
      <c r="F22" s="38" t="s">
        <v>56</v>
      </c>
      <c r="G22" s="55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5" t="s">
        <v>193</v>
      </c>
      <c r="B23" s="53">
        <v>6.0</v>
      </c>
      <c r="C23" s="38" t="s">
        <v>162</v>
      </c>
      <c r="D23" s="38" t="s">
        <v>194</v>
      </c>
      <c r="E23" s="38" t="s">
        <v>158</v>
      </c>
      <c r="F23" s="38" t="s">
        <v>56</v>
      </c>
      <c r="G23" s="55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5"/>
      <c r="B24" s="38"/>
      <c r="C24" s="38"/>
      <c r="D24" s="38"/>
      <c r="E24" s="38"/>
      <c r="F24" s="38"/>
      <c r="G24" s="55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5"/>
      <c r="B25" s="38"/>
      <c r="C25" s="38"/>
      <c r="D25" s="38"/>
      <c r="E25" s="38"/>
      <c r="F25" s="38"/>
      <c r="G25" s="55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45" t="s">
        <v>203</v>
      </c>
      <c r="G26" s="55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57" t="s">
        <v>208</v>
      </c>
      <c r="B27" s="38" t="s">
        <v>211</v>
      </c>
      <c r="C27" s="38"/>
      <c r="D27" s="38"/>
      <c r="E27" s="38"/>
      <c r="F27" s="38"/>
      <c r="G27" s="55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57" t="s">
        <v>213</v>
      </c>
      <c r="B28" s="15" t="s">
        <v>214</v>
      </c>
      <c r="C28" s="15"/>
      <c r="D28" s="15"/>
      <c r="E28" s="15"/>
      <c r="F28" s="15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57" t="s">
        <v>217</v>
      </c>
      <c r="B29" s="15" t="s">
        <v>218</v>
      </c>
      <c r="C29" s="15"/>
      <c r="D29" s="15"/>
      <c r="E29" s="15"/>
      <c r="F29" s="15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57" t="s">
        <v>220</v>
      </c>
      <c r="B30" s="15" t="s">
        <v>221</v>
      </c>
      <c r="C30" s="15"/>
      <c r="D30" s="15"/>
      <c r="E30" s="15"/>
      <c r="F30" s="15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61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61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61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61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61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61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61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61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61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61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61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61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3">
    <mergeCell ref="A1:F1"/>
    <mergeCell ref="A15:F15"/>
    <mergeCell ref="A26:F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308</v>
      </c>
      <c r="N1" s="98"/>
      <c r="O1" s="98"/>
      <c r="P1" s="98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309</v>
      </c>
      <c r="B3" s="10" t="s">
        <v>310</v>
      </c>
      <c r="C3" s="10" t="s">
        <v>311</v>
      </c>
      <c r="D3" s="10" t="s">
        <v>41</v>
      </c>
      <c r="E3" s="10" t="s">
        <v>122</v>
      </c>
      <c r="F3" s="10" t="s">
        <v>312</v>
      </c>
      <c r="G3" s="10" t="s">
        <v>200</v>
      </c>
      <c r="H3" s="10" t="s">
        <v>313</v>
      </c>
      <c r="I3" s="10" t="s">
        <v>314</v>
      </c>
      <c r="J3" s="10" t="s">
        <v>315</v>
      </c>
      <c r="K3" s="10" t="s">
        <v>316</v>
      </c>
      <c r="L3" s="10" t="s">
        <v>317</v>
      </c>
      <c r="M3" s="10" t="s">
        <v>318</v>
      </c>
      <c r="N3" s="10" t="s">
        <v>319</v>
      </c>
      <c r="O3" s="10" t="s">
        <v>320</v>
      </c>
      <c r="P3" s="10" t="s">
        <v>321</v>
      </c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19">
        <v>1.0</v>
      </c>
      <c r="B4" s="17">
        <f>SUM(Budgeting!H5:H8)</f>
        <v>5.25</v>
      </c>
      <c r="C4" s="17">
        <f>SUM(Budgeting!H11:H13)</f>
        <v>0</v>
      </c>
      <c r="D4" s="17">
        <f>SUM(Budgeting!H16:H31)</f>
        <v>8.5</v>
      </c>
      <c r="E4" s="17">
        <f>SUM(Budgeting!H35:H45)</f>
        <v>0</v>
      </c>
      <c r="F4" s="17">
        <f>SUM(Budgeting!H48:H50)</f>
        <v>6</v>
      </c>
      <c r="G4" s="17">
        <f>SUM(Budgeting!H53:H56)</f>
        <v>0</v>
      </c>
      <c r="H4" s="17">
        <f>SUM(Budgeting!H59:H68)</f>
        <v>5.65</v>
      </c>
      <c r="I4" s="17">
        <f>SUM(Budgeting!H71:H80)</f>
        <v>2.2</v>
      </c>
      <c r="J4" s="17">
        <f t="shared" ref="J4:J21" si="1">SUM(B4:I4)</f>
        <v>27.6</v>
      </c>
      <c r="K4" s="17">
        <f>Budgeting!H84</f>
        <v>0</v>
      </c>
      <c r="L4" s="17">
        <f t="shared" ref="L4:L21" si="2">J4+K4</f>
        <v>27.6</v>
      </c>
      <c r="M4" s="17">
        <f t="shared" ref="M4:M21" si="3">SUM($L$4:L4)</f>
        <v>27.6</v>
      </c>
      <c r="N4" s="17">
        <f>Assumptions!B6</f>
        <v>0</v>
      </c>
      <c r="O4" s="17">
        <f t="shared" ref="O4:O21" si="4">L4-N4</f>
        <v>27.6</v>
      </c>
      <c r="P4" s="17">
        <f t="shared" ref="P4:P21" si="5">SUM($O$4:O4)</f>
        <v>27.6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9">
        <v>2.0</v>
      </c>
      <c r="B5" s="17">
        <f>SUM(Budgeting!I5:I8)</f>
        <v>5.25</v>
      </c>
      <c r="C5" s="17">
        <f>SUM(Budgeting!I11:I13)</f>
        <v>0</v>
      </c>
      <c r="D5" s="17">
        <f>SUM(Budgeting!I16:I31)</f>
        <v>14.5</v>
      </c>
      <c r="E5" s="17">
        <f>SUM(Budgeting!I35:I45)</f>
        <v>0</v>
      </c>
      <c r="F5" s="17">
        <f>SUM(Budgeting!I48:I50)</f>
        <v>6</v>
      </c>
      <c r="G5" s="17">
        <f>SUM(Budgeting!I53:I56)</f>
        <v>2.5</v>
      </c>
      <c r="H5" s="17">
        <f>SUM(Budgeting!I59:I68)</f>
        <v>4.15</v>
      </c>
      <c r="I5" s="17">
        <f>SUM(Budgeting!I71:I80)</f>
        <v>1.5</v>
      </c>
      <c r="J5" s="17">
        <f t="shared" si="1"/>
        <v>33.9</v>
      </c>
      <c r="K5" s="17">
        <f>Budgeting!I84</f>
        <v>0</v>
      </c>
      <c r="L5" s="17">
        <f t="shared" si="2"/>
        <v>33.9</v>
      </c>
      <c r="M5" s="17">
        <f t="shared" si="3"/>
        <v>61.5</v>
      </c>
      <c r="N5" s="17">
        <f>Assumptions!B6</f>
        <v>0</v>
      </c>
      <c r="O5" s="17">
        <f t="shared" si="4"/>
        <v>33.9</v>
      </c>
      <c r="P5" s="17">
        <f t="shared" si="5"/>
        <v>61.5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9">
        <v>3.0</v>
      </c>
      <c r="B6" s="17">
        <f>SUM(Budgeting!J5:J8)</f>
        <v>5.25</v>
      </c>
      <c r="C6" s="17">
        <f>SUM(Budgeting!J11:J13)</f>
        <v>0.3</v>
      </c>
      <c r="D6" s="17">
        <f>SUM(Budgeting!J16:J31)</f>
        <v>14.5</v>
      </c>
      <c r="E6" s="17">
        <f>SUM(Budgeting!J35:J45)</f>
        <v>13.5</v>
      </c>
      <c r="F6" s="17">
        <f>SUM(Budgeting!J48:J50)</f>
        <v>7</v>
      </c>
      <c r="G6" s="17">
        <f>SUM(Budgeting!J53:J56)</f>
        <v>3.1</v>
      </c>
      <c r="H6" s="17">
        <f>SUM(Budgeting!J59:J68)</f>
        <v>4.15</v>
      </c>
      <c r="I6" s="17">
        <f>SUM(Budgeting!J71:J80)</f>
        <v>1.45</v>
      </c>
      <c r="J6" s="17">
        <f t="shared" si="1"/>
        <v>49.25</v>
      </c>
      <c r="K6" s="17">
        <f>Budgeting!J84</f>
        <v>0</v>
      </c>
      <c r="L6" s="17">
        <f t="shared" si="2"/>
        <v>49.25</v>
      </c>
      <c r="M6" s="17">
        <f t="shared" si="3"/>
        <v>110.75</v>
      </c>
      <c r="N6" s="17">
        <f>Assumptions!B6</f>
        <v>0</v>
      </c>
      <c r="O6" s="17">
        <f t="shared" si="4"/>
        <v>49.25</v>
      </c>
      <c r="P6" s="17">
        <f t="shared" si="5"/>
        <v>110.75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9">
        <v>4.0</v>
      </c>
      <c r="B7" s="17">
        <f>SUM(Budgeting!K5:K8)</f>
        <v>5.25</v>
      </c>
      <c r="C7" s="17">
        <f>SUM(Budgeting!K11:K13)</f>
        <v>0.3</v>
      </c>
      <c r="D7" s="17">
        <f>SUM(Budgeting!K16:K31)</f>
        <v>14.62</v>
      </c>
      <c r="E7" s="17">
        <f>SUM(Budgeting!K35:K45)</f>
        <v>13.5</v>
      </c>
      <c r="F7" s="17">
        <f>SUM(Budgeting!K48:K50)</f>
        <v>7.2</v>
      </c>
      <c r="G7" s="17">
        <f>SUM(Budgeting!K53:K56)</f>
        <v>3.1</v>
      </c>
      <c r="H7" s="17">
        <f>SUM(Budgeting!K59:K68)</f>
        <v>4.15</v>
      </c>
      <c r="I7" s="17">
        <f>SUM(Budgeting!K71:K80)</f>
        <v>1.45</v>
      </c>
      <c r="J7" s="17">
        <f t="shared" si="1"/>
        <v>49.57</v>
      </c>
      <c r="K7" s="17">
        <f>Budgeting!K84</f>
        <v>0</v>
      </c>
      <c r="L7" s="17">
        <f t="shared" si="2"/>
        <v>49.57</v>
      </c>
      <c r="M7" s="17">
        <f t="shared" si="3"/>
        <v>160.32</v>
      </c>
      <c r="N7" s="17">
        <f>Assumptions!B6</f>
        <v>0</v>
      </c>
      <c r="O7" s="17">
        <f t="shared" si="4"/>
        <v>49.57</v>
      </c>
      <c r="P7" s="17">
        <f t="shared" si="5"/>
        <v>160.32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9">
        <v>5.0</v>
      </c>
      <c r="B8" s="17">
        <f>SUM(Budgeting!L5:L8)</f>
        <v>5.25</v>
      </c>
      <c r="C8" s="17">
        <f>SUM(Budgeting!L11:L13)</f>
        <v>0.3</v>
      </c>
      <c r="D8" s="17">
        <f>SUM(Budgeting!L16:L31)</f>
        <v>17.62</v>
      </c>
      <c r="E8" s="17">
        <f>SUM(Budgeting!L35:L45)</f>
        <v>15.5</v>
      </c>
      <c r="F8" s="17">
        <f>SUM(Budgeting!L48:L50)</f>
        <v>7.42</v>
      </c>
      <c r="G8" s="17">
        <f>SUM(Budgeting!L53:L56)</f>
        <v>3.1</v>
      </c>
      <c r="H8" s="17">
        <f>SUM(Budgeting!L59:L68)</f>
        <v>4.15</v>
      </c>
      <c r="I8" s="17">
        <f>SUM(Budgeting!L71:L80)</f>
        <v>3.45</v>
      </c>
      <c r="J8" s="17">
        <f t="shared" si="1"/>
        <v>56.79</v>
      </c>
      <c r="K8" s="17">
        <f>Budgeting!L84</f>
        <v>0</v>
      </c>
      <c r="L8" s="17">
        <f t="shared" si="2"/>
        <v>56.79</v>
      </c>
      <c r="M8" s="17">
        <f t="shared" si="3"/>
        <v>217.11</v>
      </c>
      <c r="N8" s="17">
        <f>Assumptions!B6</f>
        <v>0</v>
      </c>
      <c r="O8" s="17">
        <f t="shared" si="4"/>
        <v>56.79</v>
      </c>
      <c r="P8" s="17">
        <f t="shared" si="5"/>
        <v>217.11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9">
        <v>6.0</v>
      </c>
      <c r="B9" s="17">
        <f>SUM(Budgeting!M5:M8)</f>
        <v>5.25</v>
      </c>
      <c r="C9" s="17">
        <f>SUM(Budgeting!M11:M13)</f>
        <v>0.3</v>
      </c>
      <c r="D9" s="17">
        <f>SUM(Budgeting!M16:M31)</f>
        <v>19.62</v>
      </c>
      <c r="E9" s="17">
        <f>SUM(Budgeting!M35:M45)</f>
        <v>15.5</v>
      </c>
      <c r="F9" s="17">
        <f>SUM(Budgeting!M48:M50)</f>
        <v>7.662</v>
      </c>
      <c r="G9" s="17">
        <f>SUM(Budgeting!M53:M56)</f>
        <v>3.1</v>
      </c>
      <c r="H9" s="17">
        <f>SUM(Budgeting!M59:M68)</f>
        <v>4.15</v>
      </c>
      <c r="I9" s="17">
        <f>SUM(Budgeting!M71:M80)</f>
        <v>1.45</v>
      </c>
      <c r="J9" s="17">
        <f t="shared" si="1"/>
        <v>57.032</v>
      </c>
      <c r="K9" s="17">
        <f>Budgeting!M84</f>
        <v>0</v>
      </c>
      <c r="L9" s="17">
        <f t="shared" si="2"/>
        <v>57.032</v>
      </c>
      <c r="M9" s="17">
        <f t="shared" si="3"/>
        <v>274.142</v>
      </c>
      <c r="N9" s="17">
        <f>Assumptions!B6</f>
        <v>0</v>
      </c>
      <c r="O9" s="17">
        <f t="shared" si="4"/>
        <v>57.032</v>
      </c>
      <c r="P9" s="17">
        <f t="shared" si="5"/>
        <v>274.142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9">
        <v>7.0</v>
      </c>
      <c r="B10" s="17">
        <f>SUM(Budgeting!N5:N8)</f>
        <v>5.25</v>
      </c>
      <c r="C10" s="17">
        <f>SUM(Budgeting!N11:N13)</f>
        <v>0.3</v>
      </c>
      <c r="D10" s="17">
        <f>SUM(Budgeting!N16:N31)</f>
        <v>19.75</v>
      </c>
      <c r="E10" s="17">
        <f>SUM(Budgeting!N35:N45)</f>
        <v>15.5</v>
      </c>
      <c r="F10" s="17">
        <f>SUM(Budgeting!N48:N50)</f>
        <v>9.9282</v>
      </c>
      <c r="G10" s="17">
        <f>SUM(Budgeting!N53:N56)</f>
        <v>3.1</v>
      </c>
      <c r="H10" s="17">
        <f>SUM(Budgeting!N59:N68)</f>
        <v>4.15</v>
      </c>
      <c r="I10" s="17">
        <f>SUM(Budgeting!N71:N80)</f>
        <v>1.7</v>
      </c>
      <c r="J10" s="17">
        <f t="shared" si="1"/>
        <v>59.6782</v>
      </c>
      <c r="K10" s="17">
        <f>Budgeting!N84</f>
        <v>5</v>
      </c>
      <c r="L10" s="17">
        <f t="shared" si="2"/>
        <v>64.6782</v>
      </c>
      <c r="M10" s="17">
        <f t="shared" si="3"/>
        <v>338.8202</v>
      </c>
      <c r="N10" s="17">
        <f>Assumptions!B6</f>
        <v>0</v>
      </c>
      <c r="O10" s="17">
        <f t="shared" si="4"/>
        <v>64.6782</v>
      </c>
      <c r="P10" s="17">
        <f t="shared" si="5"/>
        <v>338.8202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9">
        <v>8.0</v>
      </c>
      <c r="B11" s="17">
        <f>SUM(Budgeting!O5:O8)</f>
        <v>5.25</v>
      </c>
      <c r="C11" s="17">
        <f>SUM(Budgeting!O11:O13)</f>
        <v>0.3</v>
      </c>
      <c r="D11" s="17">
        <f>SUM(Budgeting!O16:O31)</f>
        <v>19.75</v>
      </c>
      <c r="E11" s="17">
        <f>SUM(Budgeting!O35:O45)</f>
        <v>15.5</v>
      </c>
      <c r="F11" s="17">
        <f>SUM(Budgeting!O48:O50)</f>
        <v>10.22102</v>
      </c>
      <c r="G11" s="17">
        <f>SUM(Budgeting!O53:O56)</f>
        <v>3.1</v>
      </c>
      <c r="H11" s="17">
        <f>SUM(Budgeting!O59:O68)</f>
        <v>4.15</v>
      </c>
      <c r="I11" s="17">
        <f>SUM(Budgeting!O71:O80)</f>
        <v>1.45</v>
      </c>
      <c r="J11" s="17">
        <f t="shared" si="1"/>
        <v>59.72102</v>
      </c>
      <c r="K11" s="17">
        <f>Budgeting!O84</f>
        <v>0</v>
      </c>
      <c r="L11" s="17">
        <f t="shared" si="2"/>
        <v>59.72102</v>
      </c>
      <c r="M11" s="17">
        <f t="shared" si="3"/>
        <v>398.54122</v>
      </c>
      <c r="N11" s="17">
        <f>Assumptions!B6</f>
        <v>0</v>
      </c>
      <c r="O11" s="17">
        <f t="shared" si="4"/>
        <v>59.72102</v>
      </c>
      <c r="P11" s="17">
        <f t="shared" si="5"/>
        <v>398.54122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9">
        <v>9.0</v>
      </c>
      <c r="B12" s="17">
        <f>SUM(Budgeting!P5:P8)</f>
        <v>5.25</v>
      </c>
      <c r="C12" s="17">
        <f>SUM(Budgeting!P11:P13)</f>
        <v>0.3</v>
      </c>
      <c r="D12" s="17">
        <f>SUM(Budgeting!P16:P31)</f>
        <v>20.75</v>
      </c>
      <c r="E12" s="17">
        <f>SUM(Budgeting!P35:P45)</f>
        <v>19.5</v>
      </c>
      <c r="F12" s="17">
        <f>SUM(Budgeting!P48:P50)</f>
        <v>11.543122</v>
      </c>
      <c r="G12" s="17">
        <f>SUM(Budgeting!P53:P56)</f>
        <v>3.1</v>
      </c>
      <c r="H12" s="17">
        <f>SUM(Budgeting!P59:P68)</f>
        <v>4.15</v>
      </c>
      <c r="I12" s="17">
        <f>SUM(Budgeting!P71:P80)</f>
        <v>1.45</v>
      </c>
      <c r="J12" s="17">
        <f t="shared" si="1"/>
        <v>66.043122</v>
      </c>
      <c r="K12" s="17">
        <f>Budgeting!P84</f>
        <v>0</v>
      </c>
      <c r="L12" s="17">
        <f t="shared" si="2"/>
        <v>66.043122</v>
      </c>
      <c r="M12" s="17">
        <f t="shared" si="3"/>
        <v>464.584342</v>
      </c>
      <c r="N12" s="17">
        <f>Assumptions!B6</f>
        <v>0</v>
      </c>
      <c r="O12" s="17">
        <f t="shared" si="4"/>
        <v>66.043122</v>
      </c>
      <c r="P12" s="17">
        <f t="shared" si="5"/>
        <v>464.584342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9">
        <v>10.0</v>
      </c>
      <c r="B13" s="17">
        <f>SUM(Budgeting!Q5:Q8)</f>
        <v>5.25</v>
      </c>
      <c r="C13" s="17">
        <f>SUM(Budgeting!Q11:Q13)</f>
        <v>0.3</v>
      </c>
      <c r="D13" s="17">
        <f>SUM(Budgeting!Q16:Q31)</f>
        <v>21.2</v>
      </c>
      <c r="E13" s="17">
        <f>SUM(Budgeting!Q35:Q45)</f>
        <v>19.5</v>
      </c>
      <c r="F13" s="17">
        <f>SUM(Budgeting!Q48:Q50)</f>
        <v>11.8974342</v>
      </c>
      <c r="G13" s="17">
        <f>SUM(Budgeting!Q53:Q56)</f>
        <v>3.1</v>
      </c>
      <c r="H13" s="17">
        <f>SUM(Budgeting!Q59:Q68)</f>
        <v>4.15</v>
      </c>
      <c r="I13" s="17">
        <f>SUM(Budgeting!Q71:Q80)</f>
        <v>1.45</v>
      </c>
      <c r="J13" s="17">
        <f t="shared" si="1"/>
        <v>66.8474342</v>
      </c>
      <c r="K13" s="17">
        <f>Budgeting!Q84</f>
        <v>0</v>
      </c>
      <c r="L13" s="17">
        <f t="shared" si="2"/>
        <v>66.8474342</v>
      </c>
      <c r="M13" s="17">
        <f t="shared" si="3"/>
        <v>531.4317762</v>
      </c>
      <c r="N13" s="17">
        <f>Assumptions!B6</f>
        <v>0</v>
      </c>
      <c r="O13" s="17">
        <f t="shared" si="4"/>
        <v>66.8474342</v>
      </c>
      <c r="P13" s="17">
        <f t="shared" si="5"/>
        <v>531.4317762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9">
        <v>11.0</v>
      </c>
      <c r="B14" s="17">
        <f>SUM(Budgeting!R5:R8)</f>
        <v>5.25</v>
      </c>
      <c r="C14" s="17">
        <f>SUM(Budgeting!R11:R13)</f>
        <v>0.3</v>
      </c>
      <c r="D14" s="17">
        <f>SUM(Budgeting!R16:R31)</f>
        <v>21.2</v>
      </c>
      <c r="E14" s="17">
        <f>SUM(Budgeting!R35:R45)</f>
        <v>19.5</v>
      </c>
      <c r="F14" s="17">
        <f>SUM(Budgeting!R48:R50)</f>
        <v>12.28717762</v>
      </c>
      <c r="G14" s="17">
        <f>SUM(Budgeting!R53:R56)</f>
        <v>3.1</v>
      </c>
      <c r="H14" s="17">
        <f>SUM(Budgeting!R59:R68)</f>
        <v>4.15</v>
      </c>
      <c r="I14" s="17">
        <f>SUM(Budgeting!R71:R80)</f>
        <v>1.45</v>
      </c>
      <c r="J14" s="17">
        <f t="shared" si="1"/>
        <v>67.23717762</v>
      </c>
      <c r="K14" s="17">
        <f>Budgeting!R84</f>
        <v>0</v>
      </c>
      <c r="L14" s="17">
        <f t="shared" si="2"/>
        <v>67.23717762</v>
      </c>
      <c r="M14" s="17">
        <f t="shared" si="3"/>
        <v>598.6689538</v>
      </c>
      <c r="N14" s="17">
        <f>Assumptions!B6</f>
        <v>0</v>
      </c>
      <c r="O14" s="17">
        <f t="shared" si="4"/>
        <v>67.23717762</v>
      </c>
      <c r="P14" s="17">
        <f t="shared" si="5"/>
        <v>598.6689538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9">
        <v>12.0</v>
      </c>
      <c r="B15" s="17">
        <f>SUM(Budgeting!S5:S8)</f>
        <v>5.25</v>
      </c>
      <c r="C15" s="17">
        <f>SUM(Budgeting!S11:S13)</f>
        <v>0.3</v>
      </c>
      <c r="D15" s="17">
        <f>SUM(Budgeting!S16:S31)</f>
        <v>21.2</v>
      </c>
      <c r="E15" s="17">
        <f>SUM(Budgeting!S35:S45)</f>
        <v>21</v>
      </c>
      <c r="F15" s="17">
        <f>SUM(Budgeting!S48:S50)</f>
        <v>12.71589538</v>
      </c>
      <c r="G15" s="17">
        <f>SUM(Budgeting!S53:S56)</f>
        <v>3.1</v>
      </c>
      <c r="H15" s="17">
        <f>SUM(Budgeting!S59:S68)</f>
        <v>4.15</v>
      </c>
      <c r="I15" s="17">
        <f>SUM(Budgeting!S71:S80)</f>
        <v>1.45</v>
      </c>
      <c r="J15" s="17">
        <f t="shared" si="1"/>
        <v>69.16589538</v>
      </c>
      <c r="K15" s="17">
        <f>Budgeting!S84</f>
        <v>0</v>
      </c>
      <c r="L15" s="17">
        <f t="shared" si="2"/>
        <v>69.16589538</v>
      </c>
      <c r="M15" s="17">
        <f t="shared" si="3"/>
        <v>667.8348492</v>
      </c>
      <c r="N15" s="17">
        <f>Assumptions!B6</f>
        <v>0</v>
      </c>
      <c r="O15" s="17">
        <f t="shared" si="4"/>
        <v>69.16589538</v>
      </c>
      <c r="P15" s="17">
        <f t="shared" si="5"/>
        <v>667.8348492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9">
        <v>13.0</v>
      </c>
      <c r="B16" s="17">
        <f>SUM(Budgeting!T5:T8)</f>
        <v>5.25</v>
      </c>
      <c r="C16" s="17">
        <f>SUM(Budgeting!T11:T13)</f>
        <v>0.3</v>
      </c>
      <c r="D16" s="17">
        <f>SUM(Budgeting!T16:T31)</f>
        <v>21.72</v>
      </c>
      <c r="E16" s="17">
        <f>SUM(Budgeting!T35:T45)</f>
        <v>21</v>
      </c>
      <c r="F16" s="17">
        <f>SUM(Budgeting!T48:T50)</f>
        <v>15.18748492</v>
      </c>
      <c r="G16" s="17">
        <f>SUM(Budgeting!T53:T56)</f>
        <v>3.1</v>
      </c>
      <c r="H16" s="17">
        <f>SUM(Budgeting!T59:T68)</f>
        <v>4.15</v>
      </c>
      <c r="I16" s="17">
        <f>SUM(Budgeting!T71:T80)</f>
        <v>1.45</v>
      </c>
      <c r="J16" s="17">
        <f t="shared" si="1"/>
        <v>72.15748492</v>
      </c>
      <c r="K16" s="17">
        <f>Budgeting!T84</f>
        <v>0</v>
      </c>
      <c r="L16" s="17">
        <f t="shared" si="2"/>
        <v>72.15748492</v>
      </c>
      <c r="M16" s="17">
        <f t="shared" si="3"/>
        <v>739.9923341</v>
      </c>
      <c r="N16" s="17">
        <f>Assumptions!B6</f>
        <v>0</v>
      </c>
      <c r="O16" s="17">
        <f t="shared" si="4"/>
        <v>72.15748492</v>
      </c>
      <c r="P16" s="17">
        <f t="shared" si="5"/>
        <v>739.9923341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9">
        <v>14.0</v>
      </c>
      <c r="B17" s="17">
        <f>SUM(Budgeting!U5:U8)</f>
        <v>5.25</v>
      </c>
      <c r="C17" s="17">
        <f>SUM(Budgeting!U11:U13)</f>
        <v>0.3</v>
      </c>
      <c r="D17" s="17">
        <f>SUM(Budgeting!U16:U31)</f>
        <v>21.72</v>
      </c>
      <c r="E17" s="17">
        <f>SUM(Budgeting!U35:U45)</f>
        <v>21</v>
      </c>
      <c r="F17" s="17">
        <f>SUM(Budgeting!U48:U50)</f>
        <v>15.70623341</v>
      </c>
      <c r="G17" s="17">
        <f>SUM(Budgeting!U53:U56)</f>
        <v>3.1</v>
      </c>
      <c r="H17" s="17">
        <f>SUM(Budgeting!U59:U68)</f>
        <v>4.15</v>
      </c>
      <c r="I17" s="17">
        <f>SUM(Budgeting!U71:U80)</f>
        <v>1.45</v>
      </c>
      <c r="J17" s="17">
        <f t="shared" si="1"/>
        <v>72.67623341</v>
      </c>
      <c r="K17" s="17">
        <f>Budgeting!U84</f>
        <v>0</v>
      </c>
      <c r="L17" s="17">
        <f t="shared" si="2"/>
        <v>72.67623341</v>
      </c>
      <c r="M17" s="17">
        <f t="shared" si="3"/>
        <v>812.6685675</v>
      </c>
      <c r="N17" s="17">
        <f>Assumptions!B6</f>
        <v>0</v>
      </c>
      <c r="O17" s="17">
        <f t="shared" si="4"/>
        <v>72.67623341</v>
      </c>
      <c r="P17" s="17">
        <f t="shared" si="5"/>
        <v>812.6685675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9">
        <v>15.0</v>
      </c>
      <c r="B18" s="17">
        <f>SUM(Budgeting!V5:V8)</f>
        <v>5.25</v>
      </c>
      <c r="C18" s="17">
        <f>SUM(Budgeting!V11:V13)</f>
        <v>0.3</v>
      </c>
      <c r="D18" s="17">
        <f>SUM(Budgeting!V16:V31)</f>
        <v>21.72</v>
      </c>
      <c r="E18" s="17">
        <f>SUM(Budgeting!V35:V45)</f>
        <v>21</v>
      </c>
      <c r="F18" s="17">
        <f>SUM(Budgeting!V48:V50)</f>
        <v>17.27685675</v>
      </c>
      <c r="G18" s="17">
        <f>SUM(Budgeting!V53:V56)</f>
        <v>3.1</v>
      </c>
      <c r="H18" s="17">
        <f>SUM(Budgeting!V59:V68)</f>
        <v>4.15</v>
      </c>
      <c r="I18" s="17">
        <f>SUM(Budgeting!V71:V80)</f>
        <v>1.45</v>
      </c>
      <c r="J18" s="17">
        <f t="shared" si="1"/>
        <v>74.24685675</v>
      </c>
      <c r="K18" s="17">
        <f>Budgeting!V84</f>
        <v>0</v>
      </c>
      <c r="L18" s="17">
        <f t="shared" si="2"/>
        <v>74.24685675</v>
      </c>
      <c r="M18" s="17">
        <f t="shared" si="3"/>
        <v>886.9154243</v>
      </c>
      <c r="N18" s="17">
        <f>Assumptions!B6</f>
        <v>0</v>
      </c>
      <c r="O18" s="17">
        <f t="shared" si="4"/>
        <v>74.24685675</v>
      </c>
      <c r="P18" s="17">
        <f t="shared" si="5"/>
        <v>886.9154243</v>
      </c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9">
        <v>16.0</v>
      </c>
      <c r="B19" s="17">
        <f>SUM(Budgeting!W5:W8)</f>
        <v>5.25</v>
      </c>
      <c r="C19" s="17">
        <f>SUM(Budgeting!W11:W13)</f>
        <v>0.3</v>
      </c>
      <c r="D19" s="17">
        <f>SUM(Budgeting!W16:W31)</f>
        <v>22.31</v>
      </c>
      <c r="E19" s="17">
        <f>SUM(Budgeting!W35:W45)</f>
        <v>21</v>
      </c>
      <c r="F19" s="17">
        <f>SUM(Budgeting!W48:W50)</f>
        <v>17.90454243</v>
      </c>
      <c r="G19" s="17">
        <f>SUM(Budgeting!W53:W56)</f>
        <v>3.1</v>
      </c>
      <c r="H19" s="17">
        <f>SUM(Budgeting!W59:W68)</f>
        <v>4.15</v>
      </c>
      <c r="I19" s="17">
        <f>SUM(Budgeting!W71:W80)</f>
        <v>1.45</v>
      </c>
      <c r="J19" s="17">
        <f t="shared" si="1"/>
        <v>75.46454243</v>
      </c>
      <c r="K19" s="17">
        <f>Budgeting!W84</f>
        <v>0</v>
      </c>
      <c r="L19" s="17">
        <f t="shared" si="2"/>
        <v>75.46454243</v>
      </c>
      <c r="M19" s="17">
        <f t="shared" si="3"/>
        <v>962.3799667</v>
      </c>
      <c r="N19" s="17">
        <f>Assumptions!B6</f>
        <v>0</v>
      </c>
      <c r="O19" s="17">
        <f t="shared" si="4"/>
        <v>75.46454243</v>
      </c>
      <c r="P19" s="17">
        <f t="shared" si="5"/>
        <v>962.3799667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9">
        <v>17.0</v>
      </c>
      <c r="B20" s="17">
        <f>SUM(Budgeting!X5:X8)</f>
        <v>5.25</v>
      </c>
      <c r="C20" s="17">
        <f>SUM(Budgeting!X11:X13)</f>
        <v>0.3</v>
      </c>
      <c r="D20" s="17">
        <f>SUM(Budgeting!X16:X31)</f>
        <v>22.31</v>
      </c>
      <c r="E20" s="17">
        <f>SUM(Budgeting!X35:X45)</f>
        <v>21</v>
      </c>
      <c r="F20" s="17">
        <f>SUM(Budgeting!X48:X50)</f>
        <v>18.59499667</v>
      </c>
      <c r="G20" s="17">
        <f>SUM(Budgeting!X53:X56)</f>
        <v>3.1</v>
      </c>
      <c r="H20" s="17">
        <f>SUM(Budgeting!X59:X68)</f>
        <v>4.15</v>
      </c>
      <c r="I20" s="17">
        <f>SUM(Budgeting!X71:X80)</f>
        <v>1.45</v>
      </c>
      <c r="J20" s="17">
        <f t="shared" si="1"/>
        <v>76.15499667</v>
      </c>
      <c r="K20" s="17">
        <f>Budgeting!X84</f>
        <v>0</v>
      </c>
      <c r="L20" s="17">
        <f t="shared" si="2"/>
        <v>76.15499667</v>
      </c>
      <c r="M20" s="17">
        <f t="shared" si="3"/>
        <v>1038.534963</v>
      </c>
      <c r="N20" s="17">
        <f>Assumptions!B6</f>
        <v>0</v>
      </c>
      <c r="O20" s="17">
        <f t="shared" si="4"/>
        <v>76.15499667</v>
      </c>
      <c r="P20" s="17">
        <f t="shared" si="5"/>
        <v>1038.534963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9">
        <v>18.0</v>
      </c>
      <c r="B21" s="17">
        <f>SUM(Budgeting!Y5:Y8)</f>
        <v>5.25</v>
      </c>
      <c r="C21" s="17">
        <f>SUM(Budgeting!Y11:Y13)</f>
        <v>0.3</v>
      </c>
      <c r="D21" s="17">
        <f>SUM(Budgeting!Y16:Y31)</f>
        <v>22.31</v>
      </c>
      <c r="E21" s="17">
        <f>SUM(Budgeting!Y35:Y45)</f>
        <v>21</v>
      </c>
      <c r="F21" s="17">
        <f>SUM(Budgeting!Y48:Y50)</f>
        <v>19.35449634</v>
      </c>
      <c r="G21" s="17">
        <f>SUM(Budgeting!Y53:Y56)</f>
        <v>3.1</v>
      </c>
      <c r="H21" s="17">
        <f>SUM(Budgeting!Y59:Y68)</f>
        <v>4.15</v>
      </c>
      <c r="I21" s="17">
        <f>SUM(Budgeting!Y71:Y80)</f>
        <v>1.45</v>
      </c>
      <c r="J21" s="17">
        <f t="shared" si="1"/>
        <v>76.91449634</v>
      </c>
      <c r="K21" s="17">
        <f>Budgeting!Y84</f>
        <v>0</v>
      </c>
      <c r="L21" s="17">
        <f t="shared" si="2"/>
        <v>76.91449634</v>
      </c>
      <c r="M21" s="17">
        <f t="shared" si="3"/>
        <v>1115.44946</v>
      </c>
      <c r="N21" s="17">
        <f>Assumptions!B6</f>
        <v>0</v>
      </c>
      <c r="O21" s="17">
        <f t="shared" si="4"/>
        <v>76.91449634</v>
      </c>
      <c r="P21" s="17">
        <f t="shared" si="5"/>
        <v>1115.44946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5" t="s">
        <v>358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0" t="s">
        <v>212</v>
      </c>
      <c r="B25" s="10" t="s">
        <v>215</v>
      </c>
      <c r="C25" s="10" t="s">
        <v>45</v>
      </c>
      <c r="D25" s="10" t="s">
        <v>216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5" t="s">
        <v>359</v>
      </c>
      <c r="B26" s="17">
        <f>SUM(J4:J21)</f>
        <v>1110.44946</v>
      </c>
      <c r="C26" s="15" t="s">
        <v>86</v>
      </c>
      <c r="D26" s="15" t="s">
        <v>360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5" t="s">
        <v>351</v>
      </c>
      <c r="B27" s="17">
        <f>SUM(K4:K21)</f>
        <v>5</v>
      </c>
      <c r="C27" s="15" t="s">
        <v>86</v>
      </c>
      <c r="D27" s="15" t="s">
        <v>361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5" t="s">
        <v>59</v>
      </c>
      <c r="B28" s="17">
        <f>B26*Assumptions!B5</f>
        <v>133.2539352</v>
      </c>
      <c r="C28" s="15" t="s">
        <v>86</v>
      </c>
      <c r="D28" s="15" t="s">
        <v>354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5" t="s">
        <v>357</v>
      </c>
      <c r="B29" s="17">
        <f>SUM(B26:B28)</f>
        <v>1248.703395</v>
      </c>
      <c r="C29" s="15" t="s">
        <v>86</v>
      </c>
      <c r="D29" s="15" t="s">
        <v>362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5" t="s">
        <v>357</v>
      </c>
      <c r="B30" s="17">
        <f>B29/100</f>
        <v>12.48703395</v>
      </c>
      <c r="C30" s="15" t="s">
        <v>179</v>
      </c>
      <c r="D30" s="15" t="s">
        <v>363</v>
      </c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5" t="s">
        <v>224</v>
      </c>
      <c r="B31" s="17">
        <f>AVERAGE(L4:L21)</f>
        <v>61.96941443</v>
      </c>
      <c r="C31" s="15" t="s">
        <v>109</v>
      </c>
      <c r="D31" s="15" t="s">
        <v>225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5" t="s">
        <v>219</v>
      </c>
      <c r="B32" s="17">
        <f>MAX(L4:L21)</f>
        <v>76.91449634</v>
      </c>
      <c r="C32" s="15" t="s">
        <v>109</v>
      </c>
      <c r="D32" s="15" t="s">
        <v>225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M1"/>
    <mergeCell ref="A24:P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9" t="s">
        <v>3</v>
      </c>
      <c r="B3" s="99" t="s">
        <v>323</v>
      </c>
      <c r="C3" s="99" t="s">
        <v>324</v>
      </c>
      <c r="D3" s="99" t="s">
        <v>325</v>
      </c>
      <c r="E3" s="99" t="s">
        <v>326</v>
      </c>
      <c r="F3" s="99" t="s">
        <v>327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0" t="s">
        <v>328</v>
      </c>
      <c r="B4" s="101">
        <f>Budgeting!AA9</f>
        <v>94.5</v>
      </c>
      <c r="C4" s="101">
        <f t="shared" ref="C4:C17" si="1">B4/100</f>
        <v>0.945</v>
      </c>
      <c r="D4" s="102">
        <f t="shared" ref="D4:D13" si="2">B4/$B$17</f>
        <v>0.0756785001</v>
      </c>
      <c r="E4" s="100" t="s">
        <v>329</v>
      </c>
      <c r="F4" s="100" t="s">
        <v>330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0" t="s">
        <v>311</v>
      </c>
      <c r="B5" s="101">
        <f>Budgeting!AA14</f>
        <v>4.8</v>
      </c>
      <c r="C5" s="101">
        <f t="shared" si="1"/>
        <v>0.048</v>
      </c>
      <c r="D5" s="102">
        <f t="shared" si="2"/>
        <v>0.003843987307</v>
      </c>
      <c r="E5" s="100" t="s">
        <v>331</v>
      </c>
      <c r="F5" s="100" t="s">
        <v>332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0" t="s">
        <v>333</v>
      </c>
      <c r="B6" s="101">
        <f>Budgeting!AA33</f>
        <v>345.3</v>
      </c>
      <c r="C6" s="101">
        <f t="shared" si="1"/>
        <v>3.453</v>
      </c>
      <c r="D6" s="102">
        <f t="shared" si="2"/>
        <v>0.2765268369</v>
      </c>
      <c r="E6" s="100" t="s">
        <v>334</v>
      </c>
      <c r="F6" s="100" t="s">
        <v>335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0" t="s">
        <v>336</v>
      </c>
      <c r="B7" s="101">
        <f>Budgeting!AA46</f>
        <v>294.5</v>
      </c>
      <c r="C7" s="101">
        <f t="shared" si="1"/>
        <v>2.945</v>
      </c>
      <c r="D7" s="102">
        <f t="shared" si="2"/>
        <v>0.2358446379</v>
      </c>
      <c r="E7" s="100" t="s">
        <v>337</v>
      </c>
      <c r="F7" s="100" t="s">
        <v>338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0" t="s">
        <v>339</v>
      </c>
      <c r="B8" s="101">
        <f>Budgeting!AA51</f>
        <v>213.8994597</v>
      </c>
      <c r="C8" s="101">
        <f t="shared" si="1"/>
        <v>2.138994597</v>
      </c>
      <c r="D8" s="102">
        <f t="shared" si="2"/>
        <v>0.1712972517</v>
      </c>
      <c r="E8" s="100" t="s">
        <v>340</v>
      </c>
      <c r="F8" s="100" t="s">
        <v>341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0" t="s">
        <v>342</v>
      </c>
      <c r="B9" s="101">
        <f>Budgeting!AA57</f>
        <v>52.1</v>
      </c>
      <c r="C9" s="101">
        <f t="shared" si="1"/>
        <v>0.521</v>
      </c>
      <c r="D9" s="102">
        <f t="shared" si="2"/>
        <v>0.04172327889</v>
      </c>
      <c r="E9" s="100" t="s">
        <v>343</v>
      </c>
      <c r="F9" s="100" t="s">
        <v>344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0" t="s">
        <v>345</v>
      </c>
      <c r="B10" s="101">
        <f>Budgeting!AA69</f>
        <v>76.2</v>
      </c>
      <c r="C10" s="101">
        <f t="shared" si="1"/>
        <v>0.762</v>
      </c>
      <c r="D10" s="102">
        <f t="shared" si="2"/>
        <v>0.0610232985</v>
      </c>
      <c r="E10" s="100" t="s">
        <v>346</v>
      </c>
      <c r="F10" s="100" t="s">
        <v>347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0" t="s">
        <v>348</v>
      </c>
      <c r="B11" s="101">
        <f>Budgeting!AA82</f>
        <v>29.15</v>
      </c>
      <c r="C11" s="101">
        <f t="shared" si="1"/>
        <v>0.2915</v>
      </c>
      <c r="D11" s="102">
        <f t="shared" si="2"/>
        <v>0.02334421458</v>
      </c>
      <c r="E11" s="100" t="s">
        <v>349</v>
      </c>
      <c r="F11" s="100" t="s">
        <v>350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0" t="s">
        <v>351</v>
      </c>
      <c r="B12" s="101">
        <f>Budgeting!AA84</f>
        <v>5</v>
      </c>
      <c r="C12" s="101">
        <f t="shared" si="1"/>
        <v>0.05</v>
      </c>
      <c r="D12" s="102">
        <f t="shared" si="2"/>
        <v>0.004004153445</v>
      </c>
      <c r="E12" s="100" t="s">
        <v>304</v>
      </c>
      <c r="F12" s="100" t="s">
        <v>352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0" t="s">
        <v>353</v>
      </c>
      <c r="B13" s="101">
        <f>'Monthly Burn'!B28</f>
        <v>133.2539352</v>
      </c>
      <c r="C13" s="101">
        <f t="shared" si="1"/>
        <v>1.332539352</v>
      </c>
      <c r="D13" s="102">
        <f t="shared" si="2"/>
        <v>0.1067138407</v>
      </c>
      <c r="E13" s="100" t="s">
        <v>354</v>
      </c>
      <c r="F13" s="100" t="s">
        <v>355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7"/>
      <c r="B14" s="103"/>
      <c r="C14" s="104">
        <f t="shared" si="1"/>
        <v>0</v>
      </c>
      <c r="D14" s="77"/>
      <c r="E14" s="77"/>
      <c r="F14" s="7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0" t="s">
        <v>356</v>
      </c>
      <c r="B15" s="101">
        <f>SUM(B4:B12)</f>
        <v>1115.44946</v>
      </c>
      <c r="C15" s="101">
        <f t="shared" si="1"/>
        <v>11.1544946</v>
      </c>
      <c r="D15" s="77"/>
      <c r="E15" s="77"/>
      <c r="F15" s="7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0" t="s">
        <v>59</v>
      </c>
      <c r="B16" s="101">
        <f>B13</f>
        <v>133.2539352</v>
      </c>
      <c r="C16" s="101">
        <f t="shared" si="1"/>
        <v>1.332539352</v>
      </c>
      <c r="D16" s="77"/>
      <c r="E16" s="77"/>
      <c r="F16" s="7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5" t="s">
        <v>357</v>
      </c>
      <c r="B17" s="106">
        <f>SUM(B15:B16)</f>
        <v>1248.703395</v>
      </c>
      <c r="C17" s="106">
        <f t="shared" si="1"/>
        <v>12.48703395</v>
      </c>
      <c r="D17" s="77"/>
      <c r="E17" s="77"/>
      <c r="F17" s="7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7" t="s">
        <v>364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8" t="s">
        <v>365</v>
      </c>
      <c r="B3" s="108" t="s">
        <v>366</v>
      </c>
      <c r="C3" s="108" t="s">
        <v>367</v>
      </c>
      <c r="D3" s="108" t="s">
        <v>368</v>
      </c>
      <c r="E3" s="108" t="s">
        <v>369</v>
      </c>
      <c r="F3" s="108" t="s">
        <v>370</v>
      </c>
      <c r="G3" s="108" t="s">
        <v>371</v>
      </c>
      <c r="H3" s="108" t="s">
        <v>372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9" t="s">
        <v>373</v>
      </c>
      <c r="B4" s="109" t="s">
        <v>374</v>
      </c>
      <c r="C4" s="109" t="s">
        <v>375</v>
      </c>
      <c r="D4" s="109" t="s">
        <v>376</v>
      </c>
      <c r="E4" s="109" t="s">
        <v>377</v>
      </c>
      <c r="F4" s="109" t="s">
        <v>378</v>
      </c>
      <c r="G4" s="109" t="s">
        <v>379</v>
      </c>
      <c r="H4" s="109" t="s">
        <v>380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9" t="s">
        <v>381</v>
      </c>
      <c r="B5" s="109" t="s">
        <v>382</v>
      </c>
      <c r="C5" s="109" t="s">
        <v>383</v>
      </c>
      <c r="D5" s="109" t="s">
        <v>384</v>
      </c>
      <c r="E5" s="109" t="s">
        <v>385</v>
      </c>
      <c r="F5" s="109" t="s">
        <v>386</v>
      </c>
      <c r="G5" s="109" t="s">
        <v>387</v>
      </c>
      <c r="H5" s="109" t="s">
        <v>388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9" t="s">
        <v>389</v>
      </c>
      <c r="B6" s="109" t="s">
        <v>390</v>
      </c>
      <c r="C6" s="109" t="s">
        <v>391</v>
      </c>
      <c r="D6" s="109" t="s">
        <v>392</v>
      </c>
      <c r="E6" s="109" t="s">
        <v>393</v>
      </c>
      <c r="F6" s="109" t="s">
        <v>394</v>
      </c>
      <c r="G6" s="109" t="s">
        <v>395</v>
      </c>
      <c r="H6" s="109" t="s">
        <v>396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9" t="s">
        <v>397</v>
      </c>
      <c r="B7" s="109" t="s">
        <v>398</v>
      </c>
      <c r="C7" s="109" t="s">
        <v>399</v>
      </c>
      <c r="D7" s="109" t="s">
        <v>400</v>
      </c>
      <c r="E7" s="109" t="s">
        <v>401</v>
      </c>
      <c r="F7" s="109" t="s">
        <v>402</v>
      </c>
      <c r="G7" s="109" t="s">
        <v>403</v>
      </c>
      <c r="H7" s="109" t="s">
        <v>404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9" t="s">
        <v>405</v>
      </c>
      <c r="B8" s="109" t="s">
        <v>406</v>
      </c>
      <c r="C8" s="109" t="s">
        <v>407</v>
      </c>
      <c r="D8" s="109" t="s">
        <v>408</v>
      </c>
      <c r="E8" s="109" t="s">
        <v>409</v>
      </c>
      <c r="F8" s="109" t="s">
        <v>410</v>
      </c>
      <c r="G8" s="109" t="s">
        <v>411</v>
      </c>
      <c r="H8" s="109" t="s">
        <v>412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9" t="s">
        <v>413</v>
      </c>
      <c r="B9" s="109" t="s">
        <v>414</v>
      </c>
      <c r="C9" s="109" t="s">
        <v>415</v>
      </c>
      <c r="D9" s="109" t="s">
        <v>416</v>
      </c>
      <c r="E9" s="109" t="s">
        <v>417</v>
      </c>
      <c r="F9" s="109" t="s">
        <v>418</v>
      </c>
      <c r="G9" s="109" t="s">
        <v>419</v>
      </c>
      <c r="H9" s="109" t="s">
        <v>420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32"/>
      <c r="C10" s="32"/>
      <c r="D10" s="32"/>
      <c r="E10" s="32"/>
      <c r="F10" s="32"/>
      <c r="G10" s="32"/>
      <c r="H10" s="3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2"/>
      <c r="B11" s="32"/>
      <c r="C11" s="32"/>
      <c r="D11" s="32"/>
      <c r="E11" s="32"/>
      <c r="F11" s="32"/>
      <c r="G11" s="32"/>
      <c r="H11" s="3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0" t="s">
        <v>421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2"/>
      <c r="B13" s="32"/>
      <c r="C13" s="32"/>
      <c r="D13" s="32"/>
      <c r="E13" s="32"/>
      <c r="F13" s="32"/>
      <c r="G13" s="32"/>
      <c r="H13" s="3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8" t="s">
        <v>422</v>
      </c>
      <c r="B14" s="108" t="s">
        <v>423</v>
      </c>
      <c r="C14" s="108" t="s">
        <v>424</v>
      </c>
      <c r="D14" s="108" t="s">
        <v>425</v>
      </c>
      <c r="E14" s="108" t="s">
        <v>426</v>
      </c>
      <c r="F14" s="108" t="s">
        <v>427</v>
      </c>
      <c r="G14" s="108" t="s">
        <v>428</v>
      </c>
      <c r="H14" s="108" t="s">
        <v>429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109" t="s">
        <v>430</v>
      </c>
      <c r="B15" s="109" t="s">
        <v>431</v>
      </c>
      <c r="C15" s="109" t="s">
        <v>432</v>
      </c>
      <c r="D15" s="109" t="s">
        <v>433</v>
      </c>
      <c r="E15" s="109" t="s">
        <v>434</v>
      </c>
      <c r="F15" s="109" t="s">
        <v>435</v>
      </c>
      <c r="G15" s="109" t="s">
        <v>436</v>
      </c>
      <c r="H15" s="109" t="s">
        <v>437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109" t="s">
        <v>438</v>
      </c>
      <c r="B16" s="109" t="s">
        <v>439</v>
      </c>
      <c r="C16" s="109" t="s">
        <v>440</v>
      </c>
      <c r="D16" s="109" t="s">
        <v>441</v>
      </c>
      <c r="E16" s="109" t="s">
        <v>442</v>
      </c>
      <c r="F16" s="109" t="s">
        <v>443</v>
      </c>
      <c r="G16" s="109" t="s">
        <v>444</v>
      </c>
      <c r="H16" s="109" t="s">
        <v>445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109" t="s">
        <v>446</v>
      </c>
      <c r="B17" s="109" t="s">
        <v>447</v>
      </c>
      <c r="C17" s="109" t="s">
        <v>448</v>
      </c>
      <c r="D17" s="109" t="s">
        <v>449</v>
      </c>
      <c r="E17" s="109" t="s">
        <v>450</v>
      </c>
      <c r="F17" s="109" t="s">
        <v>451</v>
      </c>
      <c r="G17" s="109" t="s">
        <v>452</v>
      </c>
      <c r="H17" s="109" t="s">
        <v>453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109" t="s">
        <v>454</v>
      </c>
      <c r="B18" s="109" t="s">
        <v>455</v>
      </c>
      <c r="C18" s="109" t="s">
        <v>456</v>
      </c>
      <c r="D18" s="109" t="s">
        <v>457</v>
      </c>
      <c r="E18" s="109" t="s">
        <v>458</v>
      </c>
      <c r="F18" s="109" t="s">
        <v>459</v>
      </c>
      <c r="G18" s="109" t="s">
        <v>460</v>
      </c>
      <c r="H18" s="109" t="s">
        <v>461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140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40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</row>
  </sheetData>
  <mergeCells count="2">
    <mergeCell ref="A1:H1"/>
    <mergeCell ref="A12:H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11" t="s">
        <v>462</v>
      </c>
      <c r="J1" s="112"/>
    </row>
    <row r="2">
      <c r="A2" s="113" t="s">
        <v>463</v>
      </c>
      <c r="J2" s="112"/>
    </row>
    <row r="3">
      <c r="A3" s="114" t="s">
        <v>464</v>
      </c>
      <c r="B3" s="114" t="s">
        <v>465</v>
      </c>
      <c r="C3" s="114" t="s">
        <v>366</v>
      </c>
      <c r="D3" s="115" t="s">
        <v>466</v>
      </c>
      <c r="E3" s="114" t="s">
        <v>467</v>
      </c>
      <c r="F3" s="114" t="s">
        <v>468</v>
      </c>
      <c r="G3" s="116" t="s">
        <v>469</v>
      </c>
      <c r="H3" s="114" t="s">
        <v>470</v>
      </c>
      <c r="I3" s="114" t="s">
        <v>471</v>
      </c>
    </row>
    <row r="4">
      <c r="A4" s="117" t="s">
        <v>472</v>
      </c>
      <c r="B4" s="117" t="s">
        <v>473</v>
      </c>
      <c r="C4" s="117">
        <v>6.0</v>
      </c>
      <c r="D4" s="118">
        <v>274.14</v>
      </c>
      <c r="E4" s="119">
        <f t="shared" ref="E4:E6" si="1">D4/C4</f>
        <v>45.69</v>
      </c>
      <c r="F4" s="120">
        <v>0.06</v>
      </c>
      <c r="G4" s="119">
        <f t="shared" ref="G4:G6" si="2">SUM($D$4:D4)</f>
        <v>274.14</v>
      </c>
      <c r="H4" s="121">
        <f t="shared" ref="H4:H6" si="3">SUM($F$4:F4)</f>
        <v>0.06</v>
      </c>
      <c r="I4" s="122" t="s">
        <v>474</v>
      </c>
    </row>
    <row r="5">
      <c r="A5" s="117" t="s">
        <v>174</v>
      </c>
      <c r="B5" s="117" t="s">
        <v>475</v>
      </c>
      <c r="C5" s="117">
        <v>6.0</v>
      </c>
      <c r="D5" s="118">
        <v>527.24</v>
      </c>
      <c r="E5" s="119">
        <f t="shared" si="1"/>
        <v>87.87333333</v>
      </c>
      <c r="F5" s="120">
        <v>0.07</v>
      </c>
      <c r="G5" s="119">
        <f t="shared" si="2"/>
        <v>801.38</v>
      </c>
      <c r="H5" s="121">
        <f t="shared" si="3"/>
        <v>0.13</v>
      </c>
      <c r="I5" s="122" t="s">
        <v>476</v>
      </c>
    </row>
    <row r="6">
      <c r="A6" s="117" t="s">
        <v>477</v>
      </c>
      <c r="B6" s="117" t="s">
        <v>478</v>
      </c>
      <c r="C6" s="117">
        <v>6.0</v>
      </c>
      <c r="D6" s="118">
        <v>447.62</v>
      </c>
      <c r="E6" s="119">
        <f t="shared" si="1"/>
        <v>74.60333333</v>
      </c>
      <c r="F6" s="120">
        <v>0.07</v>
      </c>
      <c r="G6" s="119">
        <f t="shared" si="2"/>
        <v>1249</v>
      </c>
      <c r="H6" s="121">
        <f t="shared" si="3"/>
        <v>0.2</v>
      </c>
      <c r="I6" s="122" t="s">
        <v>479</v>
      </c>
    </row>
    <row r="7">
      <c r="A7" s="123"/>
      <c r="B7" s="124"/>
      <c r="C7" s="123"/>
      <c r="D7" s="125"/>
      <c r="E7" s="124"/>
      <c r="F7" s="126"/>
      <c r="G7" s="127"/>
      <c r="H7" s="126"/>
      <c r="I7" s="128"/>
    </row>
    <row r="8">
      <c r="A8" s="129" t="s">
        <v>480</v>
      </c>
      <c r="B8" s="130"/>
      <c r="C8" s="129">
        <f t="shared" ref="C8:D8" si="4">SUM(C4:C6)</f>
        <v>18</v>
      </c>
      <c r="D8" s="131">
        <f t="shared" si="4"/>
        <v>1249</v>
      </c>
      <c r="E8" s="130"/>
      <c r="F8" s="132">
        <f>SUM(F4:F6)</f>
        <v>0.2</v>
      </c>
      <c r="G8" s="131">
        <f>D8</f>
        <v>1249</v>
      </c>
      <c r="H8" s="132">
        <f>F8</f>
        <v>0.2</v>
      </c>
      <c r="I8" s="128"/>
    </row>
    <row r="12">
      <c r="N12" s="133"/>
    </row>
    <row r="13">
      <c r="N13" s="133"/>
    </row>
    <row r="14">
      <c r="N14" s="133"/>
    </row>
    <row r="15">
      <c r="N15" s="133"/>
    </row>
  </sheetData>
  <mergeCells count="2">
    <mergeCell ref="A1:I1"/>
    <mergeCell ref="A2:I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4" t="s">
        <v>481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5" t="s">
        <v>482</v>
      </c>
      <c r="E3" s="59"/>
      <c r="F3" s="45" t="s">
        <v>483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484</v>
      </c>
      <c r="B4" s="10" t="s">
        <v>215</v>
      </c>
      <c r="C4" s="10" t="s">
        <v>45</v>
      </c>
      <c r="D4" s="10" t="s">
        <v>485</v>
      </c>
      <c r="E4" s="59"/>
      <c r="F4" s="10" t="s">
        <v>486</v>
      </c>
      <c r="G4" s="10" t="s">
        <v>487</v>
      </c>
      <c r="H4" s="10" t="s">
        <v>488</v>
      </c>
      <c r="I4" s="10" t="s">
        <v>489</v>
      </c>
      <c r="J4" s="10" t="s">
        <v>490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 t="s">
        <v>357</v>
      </c>
      <c r="B5" s="17">
        <f>'Monthly Burn'!B30</f>
        <v>12.48703395</v>
      </c>
      <c r="C5" s="15" t="s">
        <v>179</v>
      </c>
      <c r="D5" s="15" t="s">
        <v>491</v>
      </c>
      <c r="E5" s="59"/>
      <c r="F5" s="37">
        <v>0.15</v>
      </c>
      <c r="G5" s="17">
        <f t="shared" ref="G5:G8" si="1">$B$5*(1-F5)/F5</f>
        <v>70.75985904</v>
      </c>
      <c r="H5" s="17">
        <f t="shared" ref="H5:H8" si="2">$B$5/F5</f>
        <v>83.24689299</v>
      </c>
      <c r="I5" s="37">
        <f t="shared" ref="I5:I8" si="3">F5*(1-$B$9)</f>
        <v>0.0975</v>
      </c>
      <c r="J5" s="17">
        <f t="shared" ref="J5:J8" si="4">$B$5*$B$11/I5</f>
        <v>1280.721431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5" t="s">
        <v>143</v>
      </c>
      <c r="B6" s="37">
        <f>Assumptions!B17</f>
        <v>0.2</v>
      </c>
      <c r="C6" s="15" t="s">
        <v>67</v>
      </c>
      <c r="D6" s="15" t="s">
        <v>492</v>
      </c>
      <c r="E6" s="59"/>
      <c r="F6" s="135">
        <v>0.2</v>
      </c>
      <c r="G6" s="136">
        <f t="shared" si="1"/>
        <v>49.9481358</v>
      </c>
      <c r="H6" s="136">
        <f t="shared" si="2"/>
        <v>62.43516974</v>
      </c>
      <c r="I6" s="135">
        <f t="shared" si="3"/>
        <v>0.13</v>
      </c>
      <c r="J6" s="136">
        <f t="shared" si="4"/>
        <v>960.541073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 t="s">
        <v>493</v>
      </c>
      <c r="B7" s="17">
        <f>B5*(1-B6)/B6</f>
        <v>49.9481358</v>
      </c>
      <c r="C7" s="15" t="s">
        <v>179</v>
      </c>
      <c r="D7" s="15" t="s">
        <v>494</v>
      </c>
      <c r="E7" s="59"/>
      <c r="F7" s="37">
        <v>0.25</v>
      </c>
      <c r="G7" s="17">
        <f t="shared" si="1"/>
        <v>37.46110185</v>
      </c>
      <c r="H7" s="17">
        <f t="shared" si="2"/>
        <v>49.9481358</v>
      </c>
      <c r="I7" s="37">
        <f t="shared" si="3"/>
        <v>0.1625</v>
      </c>
      <c r="J7" s="17">
        <f t="shared" si="4"/>
        <v>768.4328584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 t="s">
        <v>495</v>
      </c>
      <c r="B8" s="17">
        <f>B5/B6</f>
        <v>62.43516974</v>
      </c>
      <c r="C8" s="15" t="s">
        <v>179</v>
      </c>
      <c r="D8" s="15" t="s">
        <v>496</v>
      </c>
      <c r="E8" s="59"/>
      <c r="F8" s="37">
        <v>0.3</v>
      </c>
      <c r="G8" s="17">
        <f t="shared" si="1"/>
        <v>29.13641255</v>
      </c>
      <c r="H8" s="17">
        <f t="shared" si="2"/>
        <v>41.6234465</v>
      </c>
      <c r="I8" s="37">
        <f t="shared" si="3"/>
        <v>0.195</v>
      </c>
      <c r="J8" s="17">
        <f t="shared" si="4"/>
        <v>640.3607153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" t="s">
        <v>497</v>
      </c>
      <c r="B9" s="37">
        <f>Assumptions!B18</f>
        <v>0.35</v>
      </c>
      <c r="C9" s="15" t="s">
        <v>67</v>
      </c>
      <c r="D9" s="15" t="s">
        <v>498</v>
      </c>
      <c r="E9" s="59"/>
      <c r="F9" s="59"/>
      <c r="G9" s="59"/>
      <c r="H9" s="59"/>
      <c r="I9" s="59"/>
      <c r="J9" s="59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5" t="s">
        <v>499</v>
      </c>
      <c r="B10" s="37">
        <f>B6*(1-B9)</f>
        <v>0.13</v>
      </c>
      <c r="C10" s="15" t="s">
        <v>67</v>
      </c>
      <c r="D10" s="15" t="s">
        <v>500</v>
      </c>
      <c r="E10" s="59"/>
      <c r="F10" s="59"/>
      <c r="G10" s="59"/>
      <c r="H10" s="59"/>
      <c r="I10" s="59"/>
      <c r="J10" s="59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 t="s">
        <v>160</v>
      </c>
      <c r="B11" s="53">
        <f>Assumptions!B19</f>
        <v>10</v>
      </c>
      <c r="C11" s="15" t="s">
        <v>162</v>
      </c>
      <c r="D11" s="15" t="s">
        <v>501</v>
      </c>
      <c r="E11" s="59"/>
      <c r="F11" s="59"/>
      <c r="G11" s="59"/>
      <c r="H11" s="59"/>
      <c r="I11" s="59"/>
      <c r="J11" s="5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 t="s">
        <v>178</v>
      </c>
      <c r="B12" s="17">
        <f>Assumptions!B21</f>
        <v>750</v>
      </c>
      <c r="C12" s="15" t="s">
        <v>179</v>
      </c>
      <c r="D12" s="15" t="s">
        <v>502</v>
      </c>
      <c r="E12" s="59"/>
      <c r="F12" s="59"/>
      <c r="G12" s="59"/>
      <c r="H12" s="59"/>
      <c r="I12" s="59"/>
      <c r="J12" s="5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 t="s">
        <v>503</v>
      </c>
      <c r="B13" s="17">
        <f>B5*B11/B10</f>
        <v>960.541073</v>
      </c>
      <c r="C13" s="15" t="s">
        <v>179</v>
      </c>
      <c r="D13" s="15" t="s">
        <v>504</v>
      </c>
      <c r="E13" s="59"/>
      <c r="F13" s="59"/>
      <c r="G13" s="59"/>
      <c r="H13" s="59"/>
      <c r="I13" s="59"/>
      <c r="J13" s="5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5" t="s">
        <v>505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 t="s">
        <v>212</v>
      </c>
      <c r="B17" s="10" t="s">
        <v>215</v>
      </c>
      <c r="C17" s="10" t="s">
        <v>45</v>
      </c>
      <c r="D17" s="10" t="s">
        <v>216</v>
      </c>
      <c r="E17" s="59"/>
      <c r="F17" s="137" t="s">
        <v>506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 t="s">
        <v>188</v>
      </c>
      <c r="B18" s="17">
        <f>Assumptions!B22</f>
        <v>62.9</v>
      </c>
      <c r="C18" s="15" t="s">
        <v>179</v>
      </c>
      <c r="D18" s="15" t="s">
        <v>507</v>
      </c>
      <c r="E18" s="59"/>
      <c r="F18" s="10" t="s">
        <v>508</v>
      </c>
      <c r="G18" s="10" t="s">
        <v>509</v>
      </c>
      <c r="H18" s="10" t="s">
        <v>510</v>
      </c>
      <c r="I18" s="10" t="s">
        <v>511</v>
      </c>
      <c r="J18" s="10" t="s">
        <v>216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 t="s">
        <v>512</v>
      </c>
      <c r="B19" s="53">
        <f>Assumptions!B23</f>
        <v>6</v>
      </c>
      <c r="C19" s="15" t="s">
        <v>162</v>
      </c>
      <c r="D19" s="15" t="s">
        <v>513</v>
      </c>
      <c r="E19" s="59"/>
      <c r="F19" s="17">
        <f>B20</f>
        <v>377.4</v>
      </c>
      <c r="G19" s="17">
        <f t="shared" ref="G19:G21" si="5">F19*$B$10</f>
        <v>49.062</v>
      </c>
      <c r="H19" s="53">
        <f t="shared" ref="H19:H21" si="6">G19/$B$5</f>
        <v>3.929035526</v>
      </c>
      <c r="I19" s="37">
        <f>H19^(1/Assumptions!B20)-1</f>
        <v>0.3147924185</v>
      </c>
      <c r="J19" s="15" t="s">
        <v>514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 t="s">
        <v>515</v>
      </c>
      <c r="B20" s="17">
        <f>B18*B19</f>
        <v>377.4</v>
      </c>
      <c r="C20" s="15" t="s">
        <v>179</v>
      </c>
      <c r="D20" s="15" t="s">
        <v>516</v>
      </c>
      <c r="E20" s="59"/>
      <c r="F20" s="17">
        <f t="shared" ref="F20:F21" si="7">B12</f>
        <v>750</v>
      </c>
      <c r="G20" s="17">
        <f t="shared" si="5"/>
        <v>97.5</v>
      </c>
      <c r="H20" s="53">
        <f t="shared" si="6"/>
        <v>7.808099217</v>
      </c>
      <c r="I20" s="37">
        <f>H20^(1/Assumptions!B20)-1</f>
        <v>0.5083740932</v>
      </c>
      <c r="J20" s="15" t="s">
        <v>517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5" t="s">
        <v>518</v>
      </c>
      <c r="B21" s="53">
        <f>$B$12/B18</f>
        <v>11.92368839</v>
      </c>
      <c r="C21" s="15" t="s">
        <v>162</v>
      </c>
      <c r="D21" s="15" t="s">
        <v>519</v>
      </c>
      <c r="E21" s="59"/>
      <c r="F21" s="17">
        <f t="shared" si="7"/>
        <v>960.541073</v>
      </c>
      <c r="G21" s="17">
        <f t="shared" si="5"/>
        <v>124.8703395</v>
      </c>
      <c r="H21" s="53">
        <f t="shared" si="6"/>
        <v>10</v>
      </c>
      <c r="I21" s="37">
        <f>H21^(1/Assumptions!B20)-1</f>
        <v>0.5848931925</v>
      </c>
      <c r="J21" s="15" t="s">
        <v>520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A1:J1"/>
    <mergeCell ref="A3:D3"/>
    <mergeCell ref="F3:J3"/>
    <mergeCell ref="A16:J16"/>
    <mergeCell ref="F17:J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521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5" t="s">
        <v>522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523</v>
      </c>
      <c r="B4" s="10" t="s">
        <v>524</v>
      </c>
      <c r="C4" s="10" t="s">
        <v>525</v>
      </c>
      <c r="D4" s="10" t="s">
        <v>526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 t="s">
        <v>527</v>
      </c>
      <c r="B5" s="15" t="s">
        <v>528</v>
      </c>
      <c r="C5" s="15" t="s">
        <v>529</v>
      </c>
      <c r="D5" s="15" t="s">
        <v>530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5" t="s">
        <v>531</v>
      </c>
      <c r="B6" s="138">
        <v>399.0</v>
      </c>
      <c r="C6" s="138">
        <v>3990.0</v>
      </c>
      <c r="D6" s="15" t="s">
        <v>532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 t="s">
        <v>533</v>
      </c>
      <c r="B7" s="138">
        <v>899.0</v>
      </c>
      <c r="C7" s="138">
        <v>8990.0</v>
      </c>
      <c r="D7" s="15" t="s">
        <v>534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 t="s">
        <v>535</v>
      </c>
      <c r="B8" s="138">
        <v>1499.0</v>
      </c>
      <c r="C8" s="138">
        <v>14990.0</v>
      </c>
      <c r="D8" s="15" t="s">
        <v>536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9"/>
      <c r="B9" s="59"/>
      <c r="C9" s="59"/>
      <c r="D9" s="5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9"/>
      <c r="B10" s="59"/>
      <c r="C10" s="59"/>
      <c r="D10" s="5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5" t="s">
        <v>537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 t="s">
        <v>538</v>
      </c>
      <c r="B12" s="10" t="s">
        <v>465</v>
      </c>
      <c r="C12" s="10" t="s">
        <v>539</v>
      </c>
      <c r="D12" s="10" t="s">
        <v>540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 t="s">
        <v>541</v>
      </c>
      <c r="B13" s="15" t="s">
        <v>542</v>
      </c>
      <c r="C13" s="15">
        <v>75.0</v>
      </c>
      <c r="D13" s="17">
        <v>1.61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 t="s">
        <v>543</v>
      </c>
      <c r="B14" s="15" t="s">
        <v>544</v>
      </c>
      <c r="C14" s="15">
        <v>600.0</v>
      </c>
      <c r="D14" s="17">
        <v>14.46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 t="s">
        <v>545</v>
      </c>
      <c r="B15" s="15" t="s">
        <v>546</v>
      </c>
      <c r="C15" s="15">
        <v>2200.0</v>
      </c>
      <c r="D15" s="17">
        <v>59.98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 t="s">
        <v>547</v>
      </c>
      <c r="B16" s="59"/>
      <c r="C16" s="59"/>
      <c r="D16" s="17">
        <f>SUM(D13:D15)</f>
        <v>76.05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 t="s">
        <v>548</v>
      </c>
      <c r="B17" s="59"/>
      <c r="C17" s="59"/>
      <c r="D17" s="17">
        <f>'Monthly Burn'!B26</f>
        <v>1110.44946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 t="s">
        <v>549</v>
      </c>
      <c r="B18" s="59"/>
      <c r="C18" s="59"/>
      <c r="D18" s="37">
        <f>D16/D17</f>
        <v>0.06848578234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 t="s">
        <v>357</v>
      </c>
      <c r="B19" s="59"/>
      <c r="C19" s="59"/>
      <c r="D19" s="17">
        <f>'Monthly Burn'!B29/100</f>
        <v>12.48703395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 t="s">
        <v>550</v>
      </c>
      <c r="B20" s="59"/>
      <c r="C20" s="59"/>
      <c r="D20" s="37">
        <f>(D16/100)/D19</f>
        <v>0.06090317389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5" t="s">
        <v>551</v>
      </c>
      <c r="B21" s="59"/>
      <c r="C21" s="59"/>
      <c r="D21" s="15" t="s">
        <v>552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A1:H1"/>
    <mergeCell ref="A3:D3"/>
    <mergeCell ref="A11:D1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4" t="s">
        <v>553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5" t="s">
        <v>554</v>
      </c>
      <c r="E3" s="59"/>
      <c r="F3" s="59"/>
      <c r="G3" s="59"/>
      <c r="H3" s="45" t="s">
        <v>555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556</v>
      </c>
      <c r="B4" s="10" t="s">
        <v>215</v>
      </c>
      <c r="C4" s="10" t="s">
        <v>45</v>
      </c>
      <c r="D4" s="10" t="s">
        <v>557</v>
      </c>
      <c r="E4" s="59"/>
      <c r="F4" s="59"/>
      <c r="G4" s="59"/>
      <c r="H4" s="10" t="s">
        <v>558</v>
      </c>
      <c r="I4" s="10" t="s">
        <v>559</v>
      </c>
      <c r="J4" s="10" t="s">
        <v>511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 t="s">
        <v>560</v>
      </c>
      <c r="B5" s="17">
        <f>valuation!B5</f>
        <v>12.48703395</v>
      </c>
      <c r="C5" s="15" t="s">
        <v>179</v>
      </c>
      <c r="D5" s="15" t="s">
        <v>357</v>
      </c>
      <c r="E5" s="59"/>
      <c r="F5" s="59"/>
      <c r="G5" s="59"/>
      <c r="H5" s="53">
        <v>3.0</v>
      </c>
      <c r="I5" s="17">
        <f t="shared" ref="I5:I8" si="1">$B$5*H5/$B$8</f>
        <v>288.1623219</v>
      </c>
      <c r="J5" s="37">
        <f t="shared" ref="J5:J8" si="2">H5^(1/$B$9)-1</f>
        <v>0.2457309396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5" t="s">
        <v>561</v>
      </c>
      <c r="B6" s="37">
        <f>valuation!B6</f>
        <v>0.2</v>
      </c>
      <c r="C6" s="15" t="s">
        <v>67</v>
      </c>
      <c r="D6" s="15" t="s">
        <v>562</v>
      </c>
      <c r="E6" s="59"/>
      <c r="F6" s="59"/>
      <c r="G6" s="59"/>
      <c r="H6" s="53">
        <v>5.0</v>
      </c>
      <c r="I6" s="17">
        <f t="shared" si="1"/>
        <v>480.2705365</v>
      </c>
      <c r="J6" s="37">
        <f t="shared" si="2"/>
        <v>0.3797296615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 t="s">
        <v>563</v>
      </c>
      <c r="B7" s="37">
        <f>valuation!B9</f>
        <v>0.35</v>
      </c>
      <c r="C7" s="15" t="s">
        <v>67</v>
      </c>
      <c r="D7" s="15" t="s">
        <v>564</v>
      </c>
      <c r="E7" s="59"/>
      <c r="F7" s="59"/>
      <c r="G7" s="59"/>
      <c r="H7" s="53">
        <v>8.0</v>
      </c>
      <c r="I7" s="17">
        <f t="shared" si="1"/>
        <v>768.4328584</v>
      </c>
      <c r="J7" s="37">
        <f t="shared" si="2"/>
        <v>0.5157165665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 t="s">
        <v>565</v>
      </c>
      <c r="B8" s="37">
        <f>valuation!B10</f>
        <v>0.13</v>
      </c>
      <c r="C8" s="15" t="s">
        <v>67</v>
      </c>
      <c r="D8" s="15" t="s">
        <v>566</v>
      </c>
      <c r="E8" s="59"/>
      <c r="F8" s="59"/>
      <c r="G8" s="59"/>
      <c r="H8" s="53">
        <v>10.0</v>
      </c>
      <c r="I8" s="17">
        <f t="shared" si="1"/>
        <v>960.541073</v>
      </c>
      <c r="J8" s="37">
        <f t="shared" si="2"/>
        <v>0.5848931925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" t="s">
        <v>168</v>
      </c>
      <c r="B9" s="19">
        <f>Assumptions!B20</f>
        <v>5</v>
      </c>
      <c r="C9" s="15" t="s">
        <v>172</v>
      </c>
      <c r="D9" s="15" t="s">
        <v>567</v>
      </c>
      <c r="E9" s="59"/>
      <c r="F9" s="59"/>
      <c r="G9" s="59"/>
      <c r="H9" s="59"/>
      <c r="I9" s="59"/>
      <c r="J9" s="59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5" t="s">
        <v>558</v>
      </c>
      <c r="B10" s="53">
        <f>valuation!B11</f>
        <v>10</v>
      </c>
      <c r="C10" s="15" t="s">
        <v>162</v>
      </c>
      <c r="D10" s="15" t="s">
        <v>568</v>
      </c>
      <c r="E10" s="59"/>
      <c r="F10" s="59"/>
      <c r="G10" s="59"/>
      <c r="H10" s="59"/>
      <c r="I10" s="59"/>
      <c r="J10" s="59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5" t="s">
        <v>569</v>
      </c>
      <c r="G13" s="59"/>
      <c r="H13" s="59"/>
      <c r="I13" s="59"/>
      <c r="J13" s="5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 t="s">
        <v>508</v>
      </c>
      <c r="B14" s="10" t="s">
        <v>509</v>
      </c>
      <c r="C14" s="10" t="s">
        <v>510</v>
      </c>
      <c r="D14" s="10" t="s">
        <v>511</v>
      </c>
      <c r="E14" s="10" t="s">
        <v>570</v>
      </c>
      <c r="F14" s="10" t="s">
        <v>216</v>
      </c>
      <c r="G14" s="59"/>
      <c r="H14" s="59"/>
      <c r="I14" s="59"/>
      <c r="J14" s="5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7">
        <v>250.0</v>
      </c>
      <c r="B15" s="17">
        <f t="shared" ref="B15:B19" si="3">A15*$B$8</f>
        <v>32.5</v>
      </c>
      <c r="C15" s="53">
        <f t="shared" ref="C15:C19" si="4">B15/$B$5</f>
        <v>2.602699739</v>
      </c>
      <c r="D15" s="37">
        <f t="shared" ref="D15:D19" si="5">C15^(1/$B$9)-1</f>
        <v>0.2108345753</v>
      </c>
      <c r="E15" s="17">
        <f t="shared" ref="E15:E19" si="6">A15-B15</f>
        <v>217.5</v>
      </c>
      <c r="F15" s="15" t="s">
        <v>571</v>
      </c>
      <c r="G15" s="59"/>
      <c r="H15" s="59"/>
      <c r="I15" s="59"/>
      <c r="J15" s="5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>
        <v>500.0</v>
      </c>
      <c r="B16" s="17">
        <f t="shared" si="3"/>
        <v>65</v>
      </c>
      <c r="C16" s="53">
        <f t="shared" si="4"/>
        <v>5.205399478</v>
      </c>
      <c r="D16" s="37">
        <f t="shared" si="5"/>
        <v>0.3908836848</v>
      </c>
      <c r="E16" s="17">
        <f t="shared" si="6"/>
        <v>435</v>
      </c>
      <c r="F16" s="15" t="s">
        <v>572</v>
      </c>
      <c r="G16" s="59"/>
      <c r="H16" s="59"/>
      <c r="I16" s="59"/>
      <c r="J16" s="5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7">
        <v>750.0</v>
      </c>
      <c r="B17" s="17">
        <f t="shared" si="3"/>
        <v>97.5</v>
      </c>
      <c r="C17" s="53">
        <f t="shared" si="4"/>
        <v>7.808099217</v>
      </c>
      <c r="D17" s="37">
        <f t="shared" si="5"/>
        <v>0.5083740932</v>
      </c>
      <c r="E17" s="17">
        <f t="shared" si="6"/>
        <v>652.5</v>
      </c>
      <c r="F17" s="15" t="s">
        <v>573</v>
      </c>
      <c r="G17" s="59"/>
      <c r="H17" s="59"/>
      <c r="I17" s="59"/>
      <c r="J17" s="5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7">
        <v>1000.0</v>
      </c>
      <c r="B18" s="17">
        <f t="shared" si="3"/>
        <v>130</v>
      </c>
      <c r="C18" s="53">
        <f t="shared" si="4"/>
        <v>10.41079896</v>
      </c>
      <c r="D18" s="37">
        <f t="shared" si="5"/>
        <v>0.5977058007</v>
      </c>
      <c r="E18" s="17">
        <f t="shared" si="6"/>
        <v>870</v>
      </c>
      <c r="F18" s="15" t="s">
        <v>574</v>
      </c>
      <c r="G18" s="59"/>
      <c r="H18" s="59"/>
      <c r="I18" s="59"/>
      <c r="J18" s="5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7">
        <v>1500.0</v>
      </c>
      <c r="B19" s="17">
        <f t="shared" si="3"/>
        <v>195</v>
      </c>
      <c r="C19" s="53">
        <f t="shared" si="4"/>
        <v>15.61619843</v>
      </c>
      <c r="D19" s="37">
        <f t="shared" si="5"/>
        <v>0.7326668396</v>
      </c>
      <c r="E19" s="17">
        <f t="shared" si="6"/>
        <v>1305</v>
      </c>
      <c r="F19" s="15" t="s">
        <v>575</v>
      </c>
      <c r="G19" s="59"/>
      <c r="H19" s="59"/>
      <c r="I19" s="59"/>
      <c r="J19" s="5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5" t="s">
        <v>576</v>
      </c>
      <c r="H22" s="62"/>
      <c r="I22" s="62"/>
      <c r="J22" s="6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0" t="s">
        <v>577</v>
      </c>
      <c r="B23" s="10" t="s">
        <v>578</v>
      </c>
      <c r="C23" s="10" t="s">
        <v>579</v>
      </c>
      <c r="D23" s="10" t="s">
        <v>580</v>
      </c>
      <c r="E23" s="10" t="s">
        <v>581</v>
      </c>
      <c r="F23" s="59"/>
      <c r="G23" s="59"/>
      <c r="H23" s="59"/>
      <c r="I23" s="59"/>
      <c r="J23" s="5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5" t="s">
        <v>582</v>
      </c>
      <c r="B24" s="15" t="s">
        <v>583</v>
      </c>
      <c r="C24" s="15" t="s">
        <v>584</v>
      </c>
      <c r="D24" s="15" t="s">
        <v>585</v>
      </c>
      <c r="E24" s="15" t="s">
        <v>586</v>
      </c>
      <c r="F24" s="59"/>
      <c r="G24" s="59"/>
      <c r="H24" s="59"/>
      <c r="I24" s="59"/>
      <c r="J24" s="5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5" t="s">
        <v>587</v>
      </c>
      <c r="B25" s="15" t="s">
        <v>588</v>
      </c>
      <c r="C25" s="15" t="s">
        <v>589</v>
      </c>
      <c r="D25" s="15" t="s">
        <v>590</v>
      </c>
      <c r="E25" s="15" t="s">
        <v>591</v>
      </c>
      <c r="F25" s="59"/>
      <c r="G25" s="59"/>
      <c r="H25" s="59"/>
      <c r="I25" s="59"/>
      <c r="J25" s="5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5" t="s">
        <v>592</v>
      </c>
      <c r="B26" s="15" t="s">
        <v>593</v>
      </c>
      <c r="C26" s="15" t="s">
        <v>594</v>
      </c>
      <c r="D26" s="15" t="s">
        <v>595</v>
      </c>
      <c r="E26" s="15" t="s">
        <v>596</v>
      </c>
      <c r="F26" s="59"/>
      <c r="G26" s="59"/>
      <c r="H26" s="59"/>
      <c r="I26" s="59"/>
      <c r="J26" s="5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5" t="s">
        <v>597</v>
      </c>
      <c r="B27" s="15" t="s">
        <v>598</v>
      </c>
      <c r="C27" s="15" t="s">
        <v>599</v>
      </c>
      <c r="D27" s="15" t="s">
        <v>600</v>
      </c>
      <c r="E27" s="15" t="s">
        <v>601</v>
      </c>
      <c r="F27" s="59"/>
      <c r="G27" s="59"/>
      <c r="H27" s="59"/>
      <c r="I27" s="59"/>
      <c r="J27" s="5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39" t="s">
        <v>602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J1"/>
    <mergeCell ref="A3:D3"/>
    <mergeCell ref="H3:J3"/>
    <mergeCell ref="A13:F13"/>
    <mergeCell ref="A22:G22"/>
    <mergeCell ref="A29:J3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1" t="s">
        <v>603</v>
      </c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43" t="s">
        <v>604</v>
      </c>
      <c r="B3" s="143" t="s">
        <v>605</v>
      </c>
      <c r="C3" s="143" t="s">
        <v>606</v>
      </c>
      <c r="D3" s="143" t="s">
        <v>607</v>
      </c>
      <c r="E3" s="143" t="s">
        <v>608</v>
      </c>
      <c r="F3" s="143" t="s">
        <v>609</v>
      </c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44" t="s">
        <v>610</v>
      </c>
      <c r="B4" s="144" t="s">
        <v>611</v>
      </c>
      <c r="C4" s="144" t="s">
        <v>612</v>
      </c>
      <c r="D4" s="145" t="s">
        <v>613</v>
      </c>
      <c r="E4" s="144" t="s">
        <v>614</v>
      </c>
      <c r="F4" s="144" t="s">
        <v>615</v>
      </c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44" t="s">
        <v>616</v>
      </c>
      <c r="B5" s="144" t="s">
        <v>617</v>
      </c>
      <c r="C5" s="144" t="s">
        <v>612</v>
      </c>
      <c r="D5" s="145" t="s">
        <v>618</v>
      </c>
      <c r="E5" s="144" t="s">
        <v>619</v>
      </c>
      <c r="F5" s="144" t="s">
        <v>620</v>
      </c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44" t="s">
        <v>621</v>
      </c>
      <c r="B6" s="144" t="s">
        <v>622</v>
      </c>
      <c r="C6" s="144" t="s">
        <v>623</v>
      </c>
      <c r="D6" s="145" t="s">
        <v>624</v>
      </c>
      <c r="E6" s="144" t="s">
        <v>625</v>
      </c>
      <c r="F6" s="144" t="s">
        <v>626</v>
      </c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44" t="s">
        <v>627</v>
      </c>
      <c r="B7" s="144" t="s">
        <v>628</v>
      </c>
      <c r="C7" s="144" t="s">
        <v>629</v>
      </c>
      <c r="D7" s="145" t="s">
        <v>630</v>
      </c>
      <c r="E7" s="144" t="s">
        <v>631</v>
      </c>
      <c r="F7" s="144" t="s">
        <v>632</v>
      </c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44" t="s">
        <v>633</v>
      </c>
      <c r="B8" s="144" t="s">
        <v>634</v>
      </c>
      <c r="C8" s="144" t="s">
        <v>635</v>
      </c>
      <c r="D8" s="145" t="s">
        <v>636</v>
      </c>
      <c r="E8" s="144" t="s">
        <v>637</v>
      </c>
      <c r="F8" s="144" t="s">
        <v>638</v>
      </c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44" t="s">
        <v>59</v>
      </c>
      <c r="B9" s="144" t="s">
        <v>354</v>
      </c>
      <c r="C9" s="144" t="s">
        <v>639</v>
      </c>
      <c r="D9" s="145" t="s">
        <v>640</v>
      </c>
      <c r="E9" s="144" t="s">
        <v>641</v>
      </c>
      <c r="F9" s="144" t="s">
        <v>642</v>
      </c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44" t="s">
        <v>643</v>
      </c>
      <c r="B10" s="144" t="s">
        <v>644</v>
      </c>
      <c r="C10" s="144" t="s">
        <v>612</v>
      </c>
      <c r="D10" s="145" t="s">
        <v>645</v>
      </c>
      <c r="E10" s="144" t="s">
        <v>646</v>
      </c>
      <c r="F10" s="144" t="s">
        <v>647</v>
      </c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46"/>
      <c r="B11" s="146"/>
      <c r="C11" s="146"/>
      <c r="D11" s="146"/>
      <c r="E11" s="146"/>
      <c r="F11" s="146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46"/>
      <c r="B12" s="146"/>
      <c r="C12" s="146"/>
      <c r="D12" s="146"/>
      <c r="E12" s="146"/>
      <c r="F12" s="146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47" t="s">
        <v>648</v>
      </c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  <row r="1001">
      <c r="A1001" s="140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40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</row>
  </sheetData>
  <mergeCells count="2">
    <mergeCell ref="A1:H1"/>
    <mergeCell ref="A13:F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">
        <v>649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8" t="s">
        <v>650</v>
      </c>
      <c r="B3" s="58" t="s">
        <v>651</v>
      </c>
      <c r="C3" s="58" t="s">
        <v>652</v>
      </c>
      <c r="D3" s="58" t="s">
        <v>653</v>
      </c>
      <c r="E3" s="58" t="s">
        <v>654</v>
      </c>
      <c r="F3" s="58" t="s">
        <v>655</v>
      </c>
      <c r="G3" s="58" t="s">
        <v>656</v>
      </c>
      <c r="H3" s="58" t="s">
        <v>557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6" t="s">
        <v>304</v>
      </c>
      <c r="B4" s="149">
        <v>7.0</v>
      </c>
      <c r="C4" s="60">
        <f>Budgeting!Z84</f>
        <v>5</v>
      </c>
      <c r="D4" s="46" t="s">
        <v>657</v>
      </c>
      <c r="E4" s="46" t="s">
        <v>658</v>
      </c>
      <c r="F4" s="46" t="s">
        <v>659</v>
      </c>
      <c r="G4" s="46" t="s">
        <v>660</v>
      </c>
      <c r="H4" s="46" t="s">
        <v>661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2"/>
      <c r="B5" s="32"/>
      <c r="C5" s="32"/>
      <c r="D5" s="32"/>
      <c r="E5" s="32"/>
      <c r="F5" s="32"/>
      <c r="G5" s="32"/>
      <c r="H5" s="32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2"/>
      <c r="B6" s="32"/>
      <c r="C6" s="32"/>
      <c r="D6" s="32"/>
      <c r="E6" s="32"/>
      <c r="F6" s="32"/>
      <c r="G6" s="32"/>
      <c r="H6" s="3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8" t="s">
        <v>662</v>
      </c>
      <c r="B7" s="58" t="s">
        <v>215</v>
      </c>
      <c r="C7" s="58" t="s">
        <v>45</v>
      </c>
      <c r="D7" s="58" t="s">
        <v>429</v>
      </c>
      <c r="E7" s="32"/>
      <c r="F7" s="32"/>
      <c r="G7" s="32"/>
      <c r="H7" s="3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6" t="s">
        <v>663</v>
      </c>
      <c r="B8" s="60">
        <f>SUM(C4:C20)</f>
        <v>5</v>
      </c>
      <c r="C8" s="46" t="s">
        <v>86</v>
      </c>
      <c r="D8" s="46" t="s">
        <v>664</v>
      </c>
      <c r="E8" s="32"/>
      <c r="F8" s="32"/>
      <c r="G8" s="32"/>
      <c r="H8" s="3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6" t="s">
        <v>665</v>
      </c>
      <c r="B9" s="150">
        <v>0.0</v>
      </c>
      <c r="C9" s="46" t="s">
        <v>86</v>
      </c>
      <c r="D9" s="46" t="s">
        <v>666</v>
      </c>
      <c r="E9" s="32"/>
      <c r="F9" s="32"/>
      <c r="G9" s="32"/>
      <c r="H9" s="3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6" t="s">
        <v>667</v>
      </c>
      <c r="B10" s="60">
        <f>B8-B9</f>
        <v>5</v>
      </c>
      <c r="C10" s="46" t="s">
        <v>86</v>
      </c>
      <c r="D10" s="46" t="s">
        <v>668</v>
      </c>
      <c r="E10" s="32"/>
      <c r="F10" s="32"/>
      <c r="G10" s="32"/>
      <c r="H10" s="3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H1"/>
  </mergeCells>
  <drawing r:id="rId1"/>
</worksheet>
</file>