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LLP (Current)" sheetId="2" r:id="rId5"/>
    <sheet state="visible" name="Pvt Ltd (Planned)" sheetId="3" r:id="rId6"/>
    <sheet state="visible" name="Post-Round Dilution" sheetId="4" r:id="rId7"/>
  </sheets>
  <definedNames/>
  <calcPr/>
  <extLst>
    <ext uri="GoogleSheetsCustomDataVersion2">
      <go:sheetsCustomData xmlns:go="http://customooxmlschemas.google.com/" r:id="rId8" roundtripDataChecksum="wVed2yYp3UwiQeXlm3dz7JoOBlVsKm2UMpMPWlw8b/M="/>
    </ext>
  </extLst>
</workbook>
</file>

<file path=xl/sharedStrings.xml><?xml version="1.0" encoding="utf-8"?>
<sst xmlns="http://schemas.openxmlformats.org/spreadsheetml/2006/main" count="78" uniqueCount="55">
  <si>
    <t>Ohshn Intelligence Pvt Ltd — Planned Cap Table</t>
  </si>
  <si>
    <t>Ohshn Intelligence — Cap Table</t>
  </si>
  <si>
    <t>Target equity structure on Pvt Ltd conversion, per signed Founder Agreements (Aug 2026)</t>
  </si>
  <si>
    <t>Nxance | Prepared for internal use — as of September 2026</t>
  </si>
  <si>
    <t>#</t>
  </si>
  <si>
    <t>Shareholder</t>
  </si>
  <si>
    <t>Role</t>
  </si>
  <si>
    <t>Equity %</t>
  </si>
  <si>
    <t>Vesting Schedule</t>
  </si>
  <si>
    <t>Cliff</t>
  </si>
  <si>
    <t>Notes</t>
  </si>
  <si>
    <t>Entity Status</t>
  </si>
  <si>
    <t>Current live legal entity:</t>
  </si>
  <si>
    <t>Abhishek</t>
  </si>
  <si>
    <t>Ohshn Intelligence LLP (LLPIN ACZ-7676), incorporated 4 July 2026</t>
  </si>
  <si>
    <t>Founder &amp; CEO</t>
  </si>
  <si>
    <t>Planned next step:</t>
  </si>
  <si>
    <t>Conversion to Private Limited — to happen during/at close of the funding round</t>
  </si>
  <si>
    <t>—</t>
  </si>
  <si>
    <t>No preferential protection from future dilution</t>
  </si>
  <si>
    <t>Deepesh Khemka</t>
  </si>
  <si>
    <t>Co-Founder &amp; CIO</t>
  </si>
  <si>
    <t>Ohshn Intelligence LLP — Contribution / Profit-Share Table</t>
  </si>
  <si>
    <t>5 years</t>
  </si>
  <si>
    <t>1 year</t>
  </si>
  <si>
    <t>Subject to Bad Leaver  / Good Leaver (FMV buyback) clause</t>
  </si>
  <si>
    <t>This workbook has two cap table tabs:</t>
  </si>
  <si>
    <t>Illustrative Dilution — After ₹12.49 Cr Raise for 20% Equity</t>
  </si>
  <si>
    <t>Raghav Kripasthya</t>
  </si>
  <si>
    <t>CTO &amp; Technical Co-Founder</t>
  </si>
  <si>
    <t>Current, live structure (as registered)</t>
  </si>
  <si>
    <t>1. LLP (Current) — the live contribution/profit-share structure today</t>
  </si>
  <si>
    <t>Subject to Bad Leaver / Good Leaver (FMV buyback) clause</t>
  </si>
  <si>
    <t>Bhaskar Pandey</t>
  </si>
  <si>
    <t>Editable: change the 'New Investor %' input (blue-filled cell) to model other raise sizes</t>
  </si>
  <si>
    <t>Co-Founder &amp; COO</t>
  </si>
  <si>
    <t>2. Pvt Ltd (Planned) — the target equity structure on conversion, per signed Founder Agreements</t>
  </si>
  <si>
    <t>Poonam Patial</t>
  </si>
  <si>
    <t>Passive Investor</t>
  </si>
  <si>
    <t>No operational role, position or authority</t>
  </si>
  <si>
    <t>New Investor %</t>
  </si>
  <si>
    <t>TOTAL</t>
  </si>
  <si>
    <t>Partner</t>
  </si>
  <si>
    <t>Contribution / Profit Share %</t>
  </si>
  <si>
    <t>Designated Partner — sole management authority</t>
  </si>
  <si>
    <t>&lt;- input: primary fundraise ask is ₹12.49 Cr for 20% equity</t>
  </si>
  <si>
    <t>Designated Partner (DIN 11805941)</t>
  </si>
  <si>
    <t>Passive investor; no operational role, position or authority</t>
  </si>
  <si>
    <t>Pre-Round %</t>
  </si>
  <si>
    <t>Post-Round % (pro-rata diluted)</t>
  </si>
  <si>
    <t>All founders (including Abhishek) dilute equally/proportionally on every future funding round.</t>
  </si>
  <si>
    <t>Leaver clause: Bad Leaver (resignation w/o discussion, fraud, misconduct) = vested shares bought back at nominal ₹1. Good Leaver (death, permanent disability, medical emergency, board-approved no-fault exit) = vested shares bought at Fair Market Value.</t>
  </si>
  <si>
    <t>Source: individual Founder Agreements signed Aug 2026 (Bhaskar, Deepesh, Raghav) + user-confirmed planned split (Sep 2026).</t>
  </si>
  <si>
    <t>Source: user-stated LLP registration split. Abhishek holds sole management authority; Poonam holds a passive 5% contribution/profit share.</t>
  </si>
  <si>
    <t>New Investor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</si>
</sst>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8">
    <font>
      <sz val="11.0"/>
      <color theme="1"/>
      <name val="Calibri"/>
      <scheme val="minor"/>
    </font>
    <font>
      <color theme="1"/>
      <name val="Calibri"/>
      <scheme val="minor"/>
    </font>
    <font>
      <b/>
      <sz val="16.0"/>
      <color rgb="FF000000"/>
      <name val="Arial"/>
    </font>
    <font>
      <i/>
      <sz val="10.0"/>
      <color rgb="FF000000"/>
      <name val="Arial"/>
    </font>
    <font>
      <b/>
      <sz val="11.0"/>
      <color rgb="FF000000"/>
      <name val="Arial"/>
    </font>
    <font>
      <sz val="11.0"/>
      <color theme="1"/>
      <name val="Calibri"/>
    </font>
    <font>
      <sz val="11.0"/>
      <color rgb="FF000000"/>
      <name val="Arial"/>
    </font>
    <font>
      <i/>
      <sz val="9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C9DAF8"/>
        <bgColor rgb="FFC9DAF8"/>
      </patternFill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3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2" fontId="2" numFmtId="0" xfId="0" applyAlignment="1" applyFill="1" applyFont="1">
      <alignment shrinkToFit="0" vertical="bottom" wrapText="1"/>
    </xf>
    <xf borderId="0" fillId="3" fontId="3" numFmtId="0" xfId="0" applyAlignment="1" applyFill="1" applyFont="1">
      <alignment shrinkToFit="0" vertical="bottom" wrapText="1"/>
    </xf>
    <xf borderId="0" fillId="4" fontId="3" numFmtId="0" xfId="0" applyAlignment="1" applyFill="1" applyFont="1">
      <alignment shrinkToFit="0" vertical="bottom" wrapText="1"/>
    </xf>
    <xf borderId="1" fillId="2" fontId="4" numFmtId="0" xfId="0" applyAlignment="1" applyBorder="1" applyFill="1" applyFont="1">
      <alignment horizontal="center" shrinkToFit="0" vertical="center" wrapText="1"/>
    </xf>
    <xf borderId="0" fillId="2" fontId="5" numFmtId="0" xfId="0" applyAlignment="1" applyFill="1" applyFont="1">
      <alignment shrinkToFit="0" vertical="bottom" wrapText="1"/>
    </xf>
    <xf borderId="0" fillId="0" fontId="4" numFmtId="0" xfId="0" applyAlignment="1" applyFont="1">
      <alignment shrinkToFit="0" vertical="bottom" wrapText="1"/>
    </xf>
    <xf borderId="1" fillId="5" fontId="6" numFmtId="0" xfId="0" applyAlignment="1" applyBorder="1" applyFill="1" applyFont="1">
      <alignment shrinkToFit="0" vertical="bottom" wrapText="1"/>
    </xf>
    <xf borderId="0" fillId="0" fontId="6" numFmtId="0" xfId="0" applyAlignment="1" applyFont="1">
      <alignment shrinkToFit="0" vertical="bottom" wrapText="1"/>
    </xf>
    <xf borderId="1" fillId="5" fontId="6" numFmtId="0" xfId="0" applyAlignment="1" applyBorder="1" applyFill="1" applyFont="1">
      <alignment horizontal="center" shrinkToFit="0" vertical="bottom" wrapText="1"/>
    </xf>
    <xf borderId="1" fillId="5" fontId="6" numFmtId="164" xfId="0" applyAlignment="1" applyBorder="1" applyFill="1" applyFont="1" applyNumberFormat="1">
      <alignment horizontal="center" shrinkToFit="0" vertical="bottom" wrapText="1"/>
    </xf>
    <xf borderId="1" fillId="5" fontId="6" numFmtId="0" xfId="0" applyAlignment="1" applyBorder="1" applyFill="1" applyFont="1">
      <alignment horizontal="center" readingOrder="0" shrinkToFit="0" vertical="bottom" wrapText="1"/>
    </xf>
    <xf borderId="0" fillId="2" fontId="4" numFmtId="0" xfId="0" applyAlignment="1" applyFill="1" applyFont="1">
      <alignment shrinkToFit="0" vertical="bottom" wrapText="1"/>
    </xf>
    <xf borderId="1" fillId="5" fontId="4" numFmtId="0" xfId="0" applyAlignment="1" applyBorder="1" applyFill="1" applyFont="1">
      <alignment shrinkToFit="0" vertical="bottom" wrapText="1"/>
    </xf>
    <xf borderId="1" fillId="6" fontId="4" numFmtId="0" xfId="0" applyAlignment="1" applyBorder="1" applyFill="1" applyFont="1">
      <alignment horizontal="center" shrinkToFit="0" vertical="center" wrapText="1"/>
    </xf>
    <xf borderId="2" fillId="4" fontId="4" numFmtId="164" xfId="0" applyAlignment="1" applyBorder="1" applyFill="1" applyFont="1" applyNumberFormat="1">
      <alignment shrinkToFit="0" vertical="bottom" wrapText="1"/>
    </xf>
    <xf borderId="0" fillId="0" fontId="7" numFmtId="0" xfId="0" applyAlignment="1" applyFont="1">
      <alignment shrinkToFit="0" vertical="bottom" wrapText="1"/>
    </xf>
    <xf borderId="1" fillId="5" fontId="4" numFmtId="0" xfId="0" applyAlignment="1" applyBorder="1" applyFill="1" applyFont="1">
      <alignment horizontal="center" shrinkToFit="0" vertical="bottom" wrapText="1"/>
    </xf>
    <xf borderId="1" fillId="5" fontId="4" numFmtId="164" xfId="0" applyAlignment="1" applyBorder="1" applyFill="1" applyFont="1" applyNumberFormat="1">
      <alignment horizontal="center" shrinkToFit="0" vertical="bottom" wrapText="1"/>
    </xf>
    <xf borderId="1" fillId="4" fontId="4" numFmtId="0" xfId="0" applyAlignment="1" applyBorder="1" applyFill="1" applyFont="1">
      <alignment shrinkToFit="0" vertical="bottom" wrapText="1"/>
    </xf>
    <xf borderId="1" fillId="4" fontId="4" numFmtId="0" xfId="0" applyAlignment="1" applyBorder="1" applyFill="1" applyFont="1">
      <alignment horizontal="center" shrinkToFit="0" vertical="bottom" wrapText="1"/>
    </xf>
    <xf borderId="1" fillId="4" fontId="4" numFmtId="164" xfId="0" applyAlignment="1" applyBorder="1" applyFill="1" applyFont="1" applyNumberForma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45.0"/>
    <col customWidth="1" min="3" max="3" width="55.0"/>
    <col customWidth="1" min="4" max="6" width="15.0"/>
    <col customWidth="1" min="7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4" t="s">
        <v>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7" t="s">
        <v>11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9" t="s">
        <v>12</v>
      </c>
      <c r="C6" s="9" t="s">
        <v>14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9" t="s">
        <v>16</v>
      </c>
      <c r="C7" s="9" t="s">
        <v>17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3" t="s">
        <v>26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9" t="s">
        <v>31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9" t="s">
        <v>36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B2:C2"/>
    <mergeCell ref="B3:C3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5.0"/>
    <col customWidth="1" min="3" max="3" width="22.0"/>
    <col customWidth="1" min="4" max="4" width="42.0"/>
    <col customWidth="1" min="5" max="5" width="14.0"/>
    <col customWidth="1" min="6" max="6" width="45.0"/>
    <col customWidth="1" min="7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22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4" t="s">
        <v>30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5"/>
      <c r="B5" s="15" t="s">
        <v>4</v>
      </c>
      <c r="C5" s="15" t="s">
        <v>42</v>
      </c>
      <c r="D5" s="15" t="s">
        <v>6</v>
      </c>
      <c r="E5" s="15" t="s">
        <v>43</v>
      </c>
      <c r="F5" s="15" t="s">
        <v>10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8"/>
      <c r="B6" s="8">
        <v>1.0</v>
      </c>
      <c r="C6" s="10" t="s">
        <v>13</v>
      </c>
      <c r="D6" s="10" t="s">
        <v>44</v>
      </c>
      <c r="E6" s="11">
        <v>0.95</v>
      </c>
      <c r="F6" s="10" t="s">
        <v>15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8"/>
      <c r="B7" s="8">
        <v>2.0</v>
      </c>
      <c r="C7" s="10" t="s">
        <v>37</v>
      </c>
      <c r="D7" s="10" t="s">
        <v>46</v>
      </c>
      <c r="E7" s="11">
        <v>0.05</v>
      </c>
      <c r="F7" s="10" t="s">
        <v>47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4"/>
      <c r="B8" s="14"/>
      <c r="C8" s="18" t="s">
        <v>41</v>
      </c>
      <c r="D8" s="18"/>
      <c r="E8" s="19">
        <f>SUM(E6:E7)</f>
        <v>1</v>
      </c>
      <c r="F8" s="18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7" t="s">
        <v>53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B2:F2"/>
    <mergeCell ref="B3:E3"/>
    <mergeCell ref="C10:D10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5.0"/>
    <col customWidth="1" min="3" max="3" width="20.0"/>
    <col customWidth="1" min="4" max="4" width="28.0"/>
    <col customWidth="1" min="5" max="5" width="12.0"/>
    <col customWidth="1" min="6" max="6" width="14.0"/>
    <col customWidth="1" min="7" max="7" width="12.0"/>
    <col customWidth="1" min="8" max="8" width="55.0"/>
    <col customWidth="1" min="9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3" t="s">
        <v>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5"/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8"/>
      <c r="B6" s="8">
        <v>1.0</v>
      </c>
      <c r="C6" s="10" t="s">
        <v>13</v>
      </c>
      <c r="D6" s="10" t="s">
        <v>15</v>
      </c>
      <c r="E6" s="11">
        <v>0.65</v>
      </c>
      <c r="F6" s="10" t="s">
        <v>18</v>
      </c>
      <c r="G6" s="10" t="s">
        <v>18</v>
      </c>
      <c r="H6" s="10" t="s">
        <v>19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8"/>
      <c r="B7" s="8">
        <v>2.0</v>
      </c>
      <c r="C7" s="10" t="s">
        <v>20</v>
      </c>
      <c r="D7" s="10" t="s">
        <v>21</v>
      </c>
      <c r="E7" s="11">
        <v>0.1</v>
      </c>
      <c r="F7" s="10" t="s">
        <v>23</v>
      </c>
      <c r="G7" s="10" t="s">
        <v>24</v>
      </c>
      <c r="H7" s="12" t="s">
        <v>25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8"/>
      <c r="B8" s="8">
        <v>3.0</v>
      </c>
      <c r="C8" s="10" t="s">
        <v>28</v>
      </c>
      <c r="D8" s="10" t="s">
        <v>29</v>
      </c>
      <c r="E8" s="11">
        <v>0.1</v>
      </c>
      <c r="F8" s="10" t="s">
        <v>23</v>
      </c>
      <c r="G8" s="10" t="s">
        <v>24</v>
      </c>
      <c r="H8" s="12" t="s">
        <v>32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8"/>
      <c r="B9" s="8">
        <v>4.0</v>
      </c>
      <c r="C9" s="10" t="s">
        <v>33</v>
      </c>
      <c r="D9" s="10" t="s">
        <v>35</v>
      </c>
      <c r="E9" s="11">
        <v>0.1</v>
      </c>
      <c r="F9" s="10" t="s">
        <v>23</v>
      </c>
      <c r="G9" s="10" t="s">
        <v>24</v>
      </c>
      <c r="H9" s="12" t="s">
        <v>25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8"/>
      <c r="B10" s="8">
        <v>5.0</v>
      </c>
      <c r="C10" s="10" t="s">
        <v>37</v>
      </c>
      <c r="D10" s="10" t="s">
        <v>38</v>
      </c>
      <c r="E10" s="11">
        <v>0.05</v>
      </c>
      <c r="F10" s="10" t="s">
        <v>18</v>
      </c>
      <c r="G10" s="10" t="s">
        <v>18</v>
      </c>
      <c r="H10" s="10" t="s">
        <v>39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4"/>
      <c r="B11" s="14"/>
      <c r="C11" s="18" t="s">
        <v>41</v>
      </c>
      <c r="D11" s="18"/>
      <c r="E11" s="19">
        <f>SUM(E6:E10)</f>
        <v>1</v>
      </c>
      <c r="F11" s="18"/>
      <c r="G11" s="18"/>
      <c r="H11" s="18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7" t="s">
        <v>50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7" t="s">
        <v>51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7" t="s">
        <v>52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2:F2"/>
    <mergeCell ref="B3:F3"/>
    <mergeCell ref="C13:F13"/>
    <mergeCell ref="C14:F14"/>
    <mergeCell ref="C15:F15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5.0"/>
    <col customWidth="1" min="3" max="3" width="22.0"/>
    <col customWidth="1" min="4" max="4" width="16.0"/>
    <col customWidth="1" min="5" max="5" width="30.0"/>
    <col customWidth="1" min="6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27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3" t="s">
        <v>34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7" t="s">
        <v>40</v>
      </c>
      <c r="D5" s="16">
        <v>0.2</v>
      </c>
      <c r="E5" s="17" t="s">
        <v>45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5"/>
      <c r="B7" s="15" t="s">
        <v>4</v>
      </c>
      <c r="C7" s="15" t="s">
        <v>5</v>
      </c>
      <c r="D7" s="15" t="s">
        <v>48</v>
      </c>
      <c r="E7" s="15" t="s">
        <v>49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8"/>
      <c r="B8" s="8">
        <v>1.0</v>
      </c>
      <c r="C8" s="10" t="s">
        <v>13</v>
      </c>
      <c r="D8" s="11">
        <v>0.65</v>
      </c>
      <c r="E8" s="11">
        <f t="shared" ref="E8:E12" si="1">D8*(1-$D$5)</f>
        <v>0.52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8"/>
      <c r="B9" s="8">
        <v>2.0</v>
      </c>
      <c r="C9" s="10" t="s">
        <v>20</v>
      </c>
      <c r="D9" s="11">
        <v>0.1</v>
      </c>
      <c r="E9" s="11">
        <f t="shared" si="1"/>
        <v>0.08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8"/>
      <c r="B10" s="8">
        <v>3.0</v>
      </c>
      <c r="C10" s="10" t="s">
        <v>28</v>
      </c>
      <c r="D10" s="11">
        <v>0.1</v>
      </c>
      <c r="E10" s="11">
        <f t="shared" si="1"/>
        <v>0.08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8"/>
      <c r="B11" s="8">
        <v>4.0</v>
      </c>
      <c r="C11" s="10" t="s">
        <v>33</v>
      </c>
      <c r="D11" s="11">
        <v>0.1</v>
      </c>
      <c r="E11" s="11">
        <f t="shared" si="1"/>
        <v>0.08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8"/>
      <c r="B12" s="8">
        <v>5.0</v>
      </c>
      <c r="C12" s="10" t="s">
        <v>37</v>
      </c>
      <c r="D12" s="11">
        <v>0.05</v>
      </c>
      <c r="E12" s="11">
        <f t="shared" si="1"/>
        <v>0.04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8"/>
      <c r="B13" s="8">
        <v>6.0</v>
      </c>
      <c r="C13" s="10" t="s">
        <v>54</v>
      </c>
      <c r="D13" s="11">
        <v>0.0</v>
      </c>
      <c r="E13" s="11">
        <f>$D$5</f>
        <v>0.2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0"/>
      <c r="B14" s="20"/>
      <c r="C14" s="21" t="s">
        <v>41</v>
      </c>
      <c r="D14" s="22">
        <f t="shared" ref="D14:E14" si="2">SUM(D8:D13)</f>
        <v>1</v>
      </c>
      <c r="E14" s="22">
        <f t="shared" si="2"/>
        <v>1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B2:G2"/>
    <mergeCell ref="B3:E3"/>
    <mergeCell ref="B5:C5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2026-09-10T16:14:38Z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